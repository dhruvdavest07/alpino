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P&amp;L" sheetId="2" r:id="rId6"/>
    <sheet state="visible" name="Cashflows" sheetId="3" r:id="rId7"/>
    <sheet state="visible" name="Data Table " sheetId="4" r:id="rId8"/>
  </sheets>
  <definedNames/>
  <calcPr/>
</workbook>
</file>

<file path=xl/sharedStrings.xml><?xml version="1.0" encoding="utf-8"?>
<sst xmlns="http://schemas.openxmlformats.org/spreadsheetml/2006/main" count="115" uniqueCount="99">
  <si>
    <t>Assumptions:</t>
  </si>
  <si>
    <t>Model Name</t>
  </si>
  <si>
    <t>Company-Owned Company-Operated (COCO)</t>
  </si>
  <si>
    <t>Café Format assumptions</t>
  </si>
  <si>
    <t>Café type</t>
  </si>
  <si>
    <t>Protein-focused QSR</t>
  </si>
  <si>
    <t>Sq. ft</t>
  </si>
  <si>
    <t>Seats</t>
  </si>
  <si>
    <t>Employee count</t>
  </si>
  <si>
    <t>Revenue assumptions</t>
  </si>
  <si>
    <t>Take-away%</t>
  </si>
  <si>
    <t>Subscription %</t>
  </si>
  <si>
    <t>Online orders% (through Swiggy/Zomato)</t>
  </si>
  <si>
    <t>Dine in %</t>
  </si>
  <si>
    <t>Weekdays / Month</t>
  </si>
  <si>
    <t>Weekends / Month</t>
  </si>
  <si>
    <t>AOV</t>
  </si>
  <si>
    <t>No of orders per day (weekdays)</t>
  </si>
  <si>
    <t>No of orders per day (weekends)</t>
  </si>
  <si>
    <t>Per month</t>
  </si>
  <si>
    <t>Per year</t>
  </si>
  <si>
    <t>COGS increment per year                                                     (as per food inflation trends)</t>
  </si>
  <si>
    <t>Salary increment per year to employees</t>
  </si>
  <si>
    <t>Salary increment per year to head chef</t>
  </si>
  <si>
    <t>Operational Costs escalation per year</t>
  </si>
  <si>
    <t>Years</t>
  </si>
  <si>
    <t>Workings</t>
  </si>
  <si>
    <t>Growth rate</t>
  </si>
  <si>
    <t>Revenue</t>
  </si>
  <si>
    <t>Cost of Goods Sold</t>
  </si>
  <si>
    <t>COGS as % of sales</t>
  </si>
  <si>
    <t>Gross Profit</t>
  </si>
  <si>
    <t>Gross Margin</t>
  </si>
  <si>
    <t>Employee cost</t>
  </si>
  <si>
    <t>Operating Costs</t>
  </si>
  <si>
    <t>Capex (depreciated over 10 years)</t>
  </si>
  <si>
    <t>Operating Profit</t>
  </si>
  <si>
    <t>Operating  Profit Margin</t>
  </si>
  <si>
    <t>Non-Recurring Expenditure</t>
  </si>
  <si>
    <t>Profit before tax</t>
  </si>
  <si>
    <t>Net Profit Margin</t>
  </si>
  <si>
    <t>Tax</t>
  </si>
  <si>
    <t>Profit after tax</t>
  </si>
  <si>
    <t>No. of days in a year</t>
  </si>
  <si>
    <t>No. of orders</t>
  </si>
  <si>
    <t>Total sales</t>
  </si>
  <si>
    <t>weekdays</t>
  </si>
  <si>
    <t>weekends</t>
  </si>
  <si>
    <t>Total Sales</t>
  </si>
  <si>
    <t>Central Kitchen Costs</t>
  </si>
  <si>
    <t>Employees</t>
  </si>
  <si>
    <t>COGS</t>
  </si>
  <si>
    <t>Raw material procurement costs</t>
  </si>
  <si>
    <t>Storage costs</t>
  </si>
  <si>
    <t>Packaging</t>
  </si>
  <si>
    <t>Salary to employees</t>
  </si>
  <si>
    <t>Salary to Head Chef</t>
  </si>
  <si>
    <t>Total salary costs</t>
  </si>
  <si>
    <t>Operational Costs</t>
  </si>
  <si>
    <t>(Assuming Sindhu Bhavan)</t>
  </si>
  <si>
    <t>Amount (₹)</t>
  </si>
  <si>
    <t>Rent</t>
  </si>
  <si>
    <t>Electricity</t>
  </si>
  <si>
    <t>Maintenance</t>
  </si>
  <si>
    <t>Fixed Marketing</t>
  </si>
  <si>
    <t>Internet &amp; Software</t>
  </si>
  <si>
    <t>Misc Fixed Costs</t>
  </si>
  <si>
    <t>CapEx Item</t>
  </si>
  <si>
    <t>Kitchen Equipment</t>
  </si>
  <si>
    <t>Furniture &amp; Fixtures</t>
  </si>
  <si>
    <t>Interiors</t>
  </si>
  <si>
    <t>Security Deposit</t>
  </si>
  <si>
    <t>POS &amp; Technology</t>
  </si>
  <si>
    <t>Civil Work</t>
  </si>
  <si>
    <t>Wall &amp; Ceiling Paint</t>
  </si>
  <si>
    <t>Total</t>
  </si>
  <si>
    <t>Useful life</t>
  </si>
  <si>
    <t>Depreciation each year</t>
  </si>
  <si>
    <t>Non- Recurring Expenses</t>
  </si>
  <si>
    <t>Pre-opening Marketing</t>
  </si>
  <si>
    <t>Licenses &amp; Compliance</t>
  </si>
  <si>
    <t>Add: Depreciation</t>
  </si>
  <si>
    <t>Less- Non-recurring expenditure</t>
  </si>
  <si>
    <t>Less: Initial investment</t>
  </si>
  <si>
    <t>Less: changes in working capital</t>
  </si>
  <si>
    <t>Free cashflows</t>
  </si>
  <si>
    <t xml:space="preserve">Cumulative CF </t>
  </si>
  <si>
    <t xml:space="preserve">Break even </t>
  </si>
  <si>
    <t>years</t>
  </si>
  <si>
    <t>IRR</t>
  </si>
  <si>
    <t>Working Capital Requirements</t>
  </si>
  <si>
    <t>Inventory</t>
  </si>
  <si>
    <t>Receivables</t>
  </si>
  <si>
    <t>Payables</t>
  </si>
  <si>
    <t>WC requirement</t>
  </si>
  <si>
    <t>Working capital injection</t>
  </si>
  <si>
    <t>-</t>
  </si>
  <si>
    <t>No                          of                        orders                 per year</t>
  </si>
  <si>
    <t>Average Order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</si>
</sst>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 &quot;sq ft&quot;"/>
    <numFmt numFmtId="165" formatCode="0 &quot;persons&quot;"/>
    <numFmt numFmtId="166" formatCode="_ * #,##0_ ;_ * \-#,##0_ ;_ * &quot;-&quot;??_ ;_ @_ "/>
    <numFmt numFmtId="167" formatCode="_ &quot;₹&quot;\ * #,##0.00_ ;_ &quot;₹&quot;\ * \-#,##0.00_ ;_ &quot;₹&quot;\ * &quot;-&quot;??_ ;_ @_ "/>
    <numFmt numFmtId="168" formatCode="[$₹]#,##0"/>
    <numFmt numFmtId="169" formatCode="_ &quot;₹&quot;\ * #,##0_ ;_ &quot;₹&quot;\ * \-#,##0_ ;_ &quot;₹&quot;\ * &quot;-&quot;_ ;_ @_ "/>
    <numFmt numFmtId="170" formatCode="0 &quot;years&quot;"/>
    <numFmt numFmtId="171" formatCode="[$₹]#,##0.00"/>
    <numFmt numFmtId="172" formatCode="0.0000%"/>
  </numFmts>
  <fonts count="19">
    <font>
      <sz val="10.0"/>
      <color rgb="FF000000"/>
      <name val="Arial"/>
      <scheme val="minor"/>
    </font>
    <font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FF"/>
      <name val="Calibri"/>
    </font>
    <font>
      <color rgb="FF0000FF"/>
      <name val="Calibri"/>
    </font>
    <font>
      <sz val="11.0"/>
      <color rgb="FF0000FF"/>
      <name val="Calibri"/>
    </font>
    <font/>
    <font>
      <b/>
      <sz val="11.0"/>
      <color rgb="FFFFFFFF"/>
      <name val="Calibri"/>
    </font>
    <font>
      <i/>
      <sz val="11.0"/>
      <color rgb="FF434343"/>
      <name val="Calibri"/>
    </font>
    <font>
      <b/>
      <i/>
      <sz val="11.0"/>
      <color rgb="FF434343"/>
      <name val="Calibri"/>
    </font>
    <font>
      <i/>
      <sz val="11.0"/>
      <color rgb="FF7F7F7F"/>
      <name val="Calibri"/>
    </font>
    <font>
      <sz val="11.0"/>
      <color rgb="FF000000"/>
      <name val="Calibri"/>
    </font>
    <font>
      <i/>
      <sz val="11.0"/>
      <color rgb="FF666666"/>
      <name val="Calibri"/>
    </font>
    <font>
      <color theme="1"/>
      <name val="Arial"/>
      <scheme val="minor"/>
    </font>
    <font>
      <b/>
      <i/>
      <sz val="11.0"/>
      <color rgb="FF000000"/>
      <name val="Calibri"/>
    </font>
    <font>
      <sz val="11.0"/>
      <color rgb="FFCC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F4861"/>
        <bgColor rgb="FF0F4861"/>
      </patternFill>
    </fill>
    <fill>
      <patternFill patternType="solid">
        <fgColor rgb="FF153D64"/>
        <bgColor rgb="FF153D64"/>
      </patternFill>
    </fill>
    <fill>
      <patternFill patternType="solid">
        <fgColor rgb="FFF3F3F3"/>
        <bgColor rgb="FFF3F3F3"/>
      </patternFill>
    </fill>
    <fill>
      <patternFill patternType="solid">
        <fgColor rgb="FFA6C9EB"/>
        <bgColor rgb="FFA6C9EB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</fills>
  <borders count="1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1" fillId="2" fontId="3" numFmtId="0" xfId="0" applyAlignment="1" applyBorder="1" applyFont="1">
      <alignment horizontal="right"/>
    </xf>
    <xf borderId="1" fillId="2" fontId="3" numFmtId="0" xfId="0" applyBorder="1" applyFont="1"/>
    <xf borderId="1" fillId="3" fontId="4" numFmtId="0" xfId="0" applyBorder="1" applyFill="1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right" readingOrder="0" shrinkToFit="0" wrapText="0"/>
    </xf>
    <xf borderId="0" fillId="4" fontId="5" numFmtId="0" xfId="0" applyAlignment="1" applyFill="1" applyFont="1">
      <alignment horizontal="left"/>
    </xf>
    <xf borderId="0" fillId="4" fontId="4" numFmtId="0" xfId="0" applyAlignment="1" applyFont="1">
      <alignment horizontal="center"/>
    </xf>
    <xf borderId="1" fillId="5" fontId="5" numFmtId="0" xfId="0" applyAlignment="1" applyBorder="1" applyFill="1" applyFont="1">
      <alignment horizontal="left"/>
    </xf>
    <xf borderId="1" fillId="5" fontId="4" numFmtId="0" xfId="0" applyAlignment="1" applyBorder="1" applyFont="1">
      <alignment horizontal="center"/>
    </xf>
    <xf borderId="0" fillId="5" fontId="1" numFmtId="0" xfId="0" applyFont="1"/>
    <xf borderId="0" fillId="0" fontId="6" numFmtId="2" xfId="0" applyAlignment="1" applyFont="1" applyNumberFormat="1">
      <alignment horizontal="right"/>
    </xf>
    <xf borderId="0" fillId="4" fontId="4" numFmtId="0" xfId="0" applyAlignment="1" applyFont="1">
      <alignment horizontal="left"/>
    </xf>
    <xf borderId="0" fillId="0" fontId="7" numFmtId="164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8" numFmtId="1" xfId="0" applyAlignment="1" applyFont="1" applyNumberFormat="1">
      <alignment horizontal="right" readingOrder="0"/>
    </xf>
    <xf borderId="1" fillId="5" fontId="5" numFmtId="0" xfId="0" applyAlignment="1" applyBorder="1" applyFont="1">
      <alignment horizontal="left" readingOrder="0"/>
    </xf>
    <xf borderId="0" fillId="0" fontId="8" numFmtId="166" xfId="0" applyAlignment="1" applyFont="1" applyNumberFormat="1">
      <alignment horizontal="center" readingOrder="0"/>
    </xf>
    <xf borderId="0" fillId="0" fontId="4" numFmtId="0" xfId="0" applyAlignment="1" applyFont="1">
      <alignment horizontal="left"/>
    </xf>
    <xf borderId="0" fillId="0" fontId="4" numFmtId="166" xfId="0" applyAlignment="1" applyFont="1" applyNumberFormat="1">
      <alignment horizontal="center"/>
    </xf>
    <xf borderId="0" fillId="0" fontId="1" numFmtId="0" xfId="0" applyAlignment="1" applyFont="1">
      <alignment readingOrder="0" shrinkToFit="0" wrapText="1"/>
    </xf>
    <xf borderId="0" fillId="0" fontId="1" numFmtId="166" xfId="0" applyFont="1" applyNumberFormat="1"/>
    <xf borderId="0" fillId="0" fontId="8" numFmtId="166" xfId="0" applyAlignment="1" applyFont="1" applyNumberFormat="1">
      <alignment horizontal="center"/>
    </xf>
    <xf borderId="0" fillId="6" fontId="1" numFmtId="0" xfId="0" applyFill="1" applyFont="1"/>
    <xf borderId="0" fillId="0" fontId="8" numFmtId="167" xfId="0" applyAlignment="1" applyFont="1" applyNumberFormat="1">
      <alignment horizontal="right" readingOrder="0"/>
    </xf>
    <xf borderId="0" fillId="0" fontId="4" numFmtId="1" xfId="0" applyAlignment="1" applyFont="1" applyNumberFormat="1">
      <alignment horizontal="right"/>
    </xf>
    <xf borderId="0" fillId="6" fontId="4" numFmtId="0" xfId="0" applyAlignment="1" applyFont="1">
      <alignment shrinkToFit="0" vertical="bottom" wrapText="1"/>
    </xf>
    <xf borderId="0" fillId="0" fontId="8" numFmtId="10" xfId="0" applyAlignment="1" applyFont="1" applyNumberFormat="1">
      <alignment horizontal="right" readingOrder="0" vertical="bottom"/>
    </xf>
    <xf borderId="0" fillId="6" fontId="4" numFmtId="0" xfId="0" applyAlignment="1" applyFont="1">
      <alignment vertical="bottom"/>
    </xf>
    <xf borderId="0" fillId="0" fontId="8" numFmtId="10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1" numFmtId="168" xfId="0" applyAlignment="1" applyFont="1" applyNumberFormat="1">
      <alignment horizontal="right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4" xfId="0" applyFont="1" applyNumberFormat="1"/>
    <xf borderId="2" fillId="3" fontId="2" numFmtId="0" xfId="0" applyAlignment="1" applyBorder="1" applyFont="1">
      <alignment horizontal="center"/>
    </xf>
    <xf borderId="3" fillId="0" fontId="9" numFmtId="0" xfId="0" applyBorder="1" applyFont="1"/>
    <xf borderId="4" fillId="0" fontId="9" numFmtId="0" xfId="0" applyBorder="1" applyFont="1"/>
    <xf borderId="1" fillId="3" fontId="2" numFmtId="0" xfId="0" applyBorder="1" applyFont="1"/>
    <xf borderId="1" fillId="3" fontId="10" numFmtId="0" xfId="0" applyAlignment="1" applyBorder="1" applyFont="1">
      <alignment readingOrder="0"/>
    </xf>
    <xf borderId="1" fillId="3" fontId="10" numFmtId="1" xfId="0" applyAlignment="1" applyBorder="1" applyFont="1" applyNumberFormat="1">
      <alignment readingOrder="0"/>
    </xf>
    <xf borderId="1" fillId="3" fontId="2" numFmtId="1" xfId="0" applyBorder="1" applyFont="1" applyNumberFormat="1"/>
    <xf borderId="0" fillId="0" fontId="1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2" numFmtId="9" xfId="0" applyAlignment="1" applyFont="1" applyNumberFormat="1">
      <alignment readingOrder="0"/>
    </xf>
    <xf borderId="0" fillId="6" fontId="12" numFmtId="9" xfId="0" applyAlignment="1" applyFont="1" applyNumberFormat="1">
      <alignment readingOrder="0"/>
    </xf>
    <xf borderId="0" fillId="0" fontId="4" numFmtId="169" xfId="0" applyAlignment="1" applyFont="1" applyNumberFormat="1">
      <alignment horizontal="right"/>
    </xf>
    <xf borderId="0" fillId="0" fontId="13" numFmtId="0" xfId="0" applyFont="1"/>
    <xf borderId="0" fillId="0" fontId="4" numFmtId="0" xfId="0" applyFont="1"/>
    <xf borderId="0" fillId="0" fontId="13" numFmtId="10" xfId="0" applyAlignment="1" applyFont="1" applyNumberFormat="1">
      <alignment horizontal="right"/>
    </xf>
    <xf borderId="0" fillId="6" fontId="13" numFmtId="10" xfId="0" applyAlignment="1" applyFont="1" applyNumberFormat="1">
      <alignment horizontal="right"/>
    </xf>
    <xf borderId="0" fillId="0" fontId="11" numFmtId="0" xfId="0" applyFont="1"/>
    <xf borderId="0" fillId="0" fontId="11" numFmtId="10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5" fillId="0" fontId="4" numFmtId="0" xfId="0" applyAlignment="1" applyBorder="1" applyFont="1">
      <alignment readingOrder="0"/>
    </xf>
    <xf borderId="5" fillId="0" fontId="4" numFmtId="0" xfId="0" applyBorder="1" applyFont="1"/>
    <xf borderId="5" fillId="0" fontId="4" numFmtId="169" xfId="0" applyAlignment="1" applyBorder="1" applyFont="1" applyNumberFormat="1">
      <alignment horizontal="right"/>
    </xf>
    <xf borderId="0" fillId="0" fontId="14" numFmtId="0" xfId="0" applyFont="1"/>
    <xf borderId="5" fillId="0" fontId="15" numFmtId="0" xfId="0" applyBorder="1" applyFont="1"/>
    <xf borderId="0" fillId="0" fontId="4" numFmtId="0" xfId="0" applyAlignment="1" applyFont="1">
      <alignment horizontal="right" readingOrder="0"/>
    </xf>
    <xf borderId="0" fillId="0" fontId="11" numFmtId="0" xfId="0" applyAlignment="1" applyFont="1">
      <alignment vertical="bottom"/>
    </xf>
    <xf borderId="0" fillId="0" fontId="11" numFmtId="10" xfId="0" applyAlignment="1" applyFont="1" applyNumberFormat="1">
      <alignment horizontal="right"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right"/>
    </xf>
    <xf borderId="0" fillId="0" fontId="11" numFmtId="10" xfId="0" applyFont="1" applyNumberFormat="1"/>
    <xf borderId="0" fillId="0" fontId="5" numFmtId="0" xfId="0" applyFont="1"/>
    <xf borderId="6" fillId="7" fontId="4" numFmtId="0" xfId="0" applyAlignment="1" applyBorder="1" applyFill="1" applyFont="1">
      <alignment readingOrder="0"/>
    </xf>
    <xf borderId="6" fillId="7" fontId="5" numFmtId="0" xfId="0" applyAlignment="1" applyBorder="1" applyFont="1">
      <alignment horizontal="left" readingOrder="0"/>
    </xf>
    <xf borderId="6" fillId="7" fontId="5" numFmtId="0" xfId="0" applyAlignment="1" applyBorder="1" applyFont="1">
      <alignment horizontal="right" readingOrder="0"/>
    </xf>
    <xf borderId="6" fillId="7" fontId="5" numFmtId="0" xfId="0" applyAlignment="1" applyBorder="1" applyFont="1">
      <alignment readingOrder="0"/>
    </xf>
    <xf borderId="0" fillId="6" fontId="4" numFmtId="0" xfId="0" applyAlignment="1" applyFont="1">
      <alignment horizontal="right" vertical="bottom"/>
    </xf>
    <xf borderId="0" fillId="6" fontId="5" numFmtId="0" xfId="0" applyAlignment="1" applyFont="1">
      <alignment vertical="bottom"/>
    </xf>
    <xf borderId="0" fillId="6" fontId="5" numFmtId="0" xfId="0" applyAlignment="1" applyFont="1">
      <alignment horizontal="right" vertical="bottom"/>
    </xf>
    <xf borderId="6" fillId="0" fontId="4" numFmtId="0" xfId="0" applyBorder="1" applyFont="1"/>
    <xf borderId="6" fillId="0" fontId="4" numFmtId="0" xfId="0" applyAlignment="1" applyBorder="1" applyFont="1">
      <alignment horizontal="left" readingOrder="0"/>
    </xf>
    <xf borderId="6" fillId="0" fontId="4" numFmtId="0" xfId="0" applyAlignment="1" applyBorder="1" applyFont="1">
      <alignment horizontal="right" readingOrder="0"/>
    </xf>
    <xf borderId="6" fillId="0" fontId="4" numFmtId="0" xfId="0" applyAlignment="1" applyBorder="1" applyFont="1">
      <alignment horizontal="right"/>
    </xf>
    <xf borderId="0" fillId="6" fontId="8" numFmtId="0" xfId="0" applyAlignment="1" applyFont="1">
      <alignment horizontal="right" vertical="bottom"/>
    </xf>
    <xf borderId="6" fillId="0" fontId="4" numFmtId="166" xfId="0" applyAlignment="1" applyBorder="1" applyFont="1" applyNumberFormat="1">
      <alignment horizontal="right"/>
    </xf>
    <xf borderId="7" fillId="0" fontId="5" numFmtId="0" xfId="0" applyAlignment="1" applyBorder="1" applyFont="1">
      <alignment horizontal="right" readingOrder="0"/>
    </xf>
    <xf borderId="8" fillId="0" fontId="9" numFmtId="0" xfId="0" applyBorder="1" applyFont="1"/>
    <xf borderId="6" fillId="0" fontId="5" numFmtId="0" xfId="0" applyAlignment="1" applyBorder="1" applyFont="1">
      <alignment horizontal="right"/>
    </xf>
    <xf borderId="6" fillId="6" fontId="4" numFmtId="0" xfId="0" applyAlignment="1" applyBorder="1" applyFont="1">
      <alignment horizontal="right" vertical="bottom"/>
    </xf>
    <xf borderId="6" fillId="7" fontId="5" numFmtId="0" xfId="0" applyAlignment="1" applyBorder="1" applyFont="1">
      <alignment vertical="bottom"/>
    </xf>
    <xf borderId="6" fillId="7" fontId="5" numFmtId="0" xfId="0" applyAlignment="1" applyBorder="1" applyFont="1">
      <alignment horizontal="right" vertical="bottom"/>
    </xf>
    <xf borderId="0" fillId="6" fontId="8" numFmtId="169" xfId="0" applyAlignment="1" applyFont="1" applyNumberFormat="1">
      <alignment horizontal="right" vertical="bottom"/>
    </xf>
    <xf borderId="0" fillId="6" fontId="4" numFmtId="169" xfId="0" applyAlignment="1" applyFont="1" applyNumberFormat="1">
      <alignment horizontal="right" vertical="bottom"/>
    </xf>
    <xf borderId="6" fillId="6" fontId="4" numFmtId="0" xfId="0" applyAlignment="1" applyBorder="1" applyFont="1">
      <alignment vertical="bottom"/>
    </xf>
    <xf borderId="6" fillId="6" fontId="8" numFmtId="0" xfId="0" applyAlignment="1" applyBorder="1" applyFont="1">
      <alignment horizontal="right" vertical="bottom"/>
    </xf>
    <xf borderId="6" fillId="6" fontId="5" numFmtId="0" xfId="0" applyAlignment="1" applyBorder="1" applyFont="1">
      <alignment horizontal="right" vertical="bottom"/>
    </xf>
    <xf borderId="0" fillId="6" fontId="4" numFmtId="0" xfId="0" applyAlignment="1" applyFont="1">
      <alignment readingOrder="0"/>
    </xf>
    <xf borderId="0" fillId="6" fontId="5" numFmtId="0" xfId="0" applyAlignment="1" applyFont="1">
      <alignment horizontal="left" readingOrder="0"/>
    </xf>
    <xf borderId="0" fillId="6" fontId="5" numFmtId="0" xfId="0" applyAlignment="1" applyFont="1">
      <alignment horizontal="right" readingOrder="0"/>
    </xf>
    <xf borderId="9" fillId="7" fontId="4" numFmtId="0" xfId="0" applyAlignment="1" applyBorder="1" applyFont="1">
      <alignment readingOrder="0"/>
    </xf>
    <xf borderId="9" fillId="7" fontId="5" numFmtId="0" xfId="0" applyAlignment="1" applyBorder="1" applyFont="1">
      <alignment horizontal="left" readingOrder="0"/>
    </xf>
    <xf borderId="10" fillId="7" fontId="5" numFmtId="0" xfId="0" applyAlignment="1" applyBorder="1" applyFont="1">
      <alignment horizontal="right" readingOrder="0"/>
    </xf>
    <xf borderId="7" fillId="0" fontId="4" numFmtId="0" xfId="0" applyAlignment="1" applyBorder="1" applyFont="1">
      <alignment horizontal="left" readingOrder="0"/>
    </xf>
    <xf borderId="6" fillId="0" fontId="8" numFmtId="169" xfId="0" applyBorder="1" applyFont="1" applyNumberFormat="1"/>
    <xf borderId="6" fillId="0" fontId="4" numFmtId="169" xfId="0" applyBorder="1" applyFont="1" applyNumberFormat="1"/>
    <xf borderId="7" fillId="6" fontId="4" numFmtId="0" xfId="0" applyAlignment="1" applyBorder="1" applyFont="1">
      <alignment horizontal="left" readingOrder="0"/>
    </xf>
    <xf borderId="6" fillId="6" fontId="4" numFmtId="169" xfId="0" applyBorder="1" applyFont="1" applyNumberFormat="1"/>
    <xf borderId="0" fillId="6" fontId="4" numFmtId="169" xfId="0" applyAlignment="1" applyFont="1" applyNumberFormat="1">
      <alignment vertical="bottom"/>
    </xf>
    <xf borderId="0" fillId="6" fontId="5" numFmtId="169" xfId="0" applyAlignment="1" applyFont="1" applyNumberFormat="1">
      <alignment horizontal="right" vertical="bottom"/>
    </xf>
    <xf borderId="6" fillId="0" fontId="4" numFmtId="0" xfId="0" applyAlignment="1" applyBorder="1" applyFont="1">
      <alignment vertical="bottom"/>
    </xf>
    <xf borderId="6" fillId="0" fontId="8" numFmtId="169" xfId="0" applyAlignment="1" applyBorder="1" applyFont="1" applyNumberFormat="1">
      <alignment horizontal="right" readingOrder="0" vertical="bottom"/>
    </xf>
    <xf borderId="6" fillId="0" fontId="4" numFmtId="169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horizontal="left"/>
    </xf>
    <xf borderId="6" fillId="0" fontId="5" numFmtId="169" xfId="0" applyBorder="1" applyFont="1" applyNumberFormat="1"/>
    <xf borderId="0" fillId="0" fontId="4" numFmtId="9" xfId="0" applyAlignment="1" applyFont="1" applyNumberFormat="1">
      <alignment horizontal="right" readingOrder="0"/>
    </xf>
    <xf borderId="6" fillId="0" fontId="4" numFmtId="169" xfId="0" applyAlignment="1" applyBorder="1" applyFont="1" applyNumberFormat="1">
      <alignment readingOrder="0"/>
    </xf>
    <xf borderId="6" fillId="0" fontId="5" numFmtId="0" xfId="0" applyAlignment="1" applyBorder="1" applyFont="1">
      <alignment horizontal="left" readingOrder="0"/>
    </xf>
    <xf borderId="0" fillId="0" fontId="4" numFmtId="169" xfId="0" applyFont="1" applyNumberFormat="1"/>
    <xf borderId="6" fillId="0" fontId="8" numFmtId="169" xfId="0" applyAlignment="1" applyBorder="1" applyFont="1" applyNumberFormat="1">
      <alignment readingOrder="0"/>
    </xf>
    <xf borderId="6" fillId="0" fontId="4" numFmtId="0" xfId="0" applyAlignment="1" applyBorder="1" applyFont="1">
      <alignment horizontal="left"/>
    </xf>
    <xf borderId="6" fillId="6" fontId="4" numFmtId="0" xfId="0" applyAlignment="1" applyBorder="1" applyFont="1">
      <alignment horizontal="left"/>
    </xf>
    <xf borderId="6" fillId="6" fontId="8" numFmtId="169" xfId="0" applyAlignment="1" applyBorder="1" applyFont="1" applyNumberFormat="1">
      <alignment readingOrder="0"/>
    </xf>
    <xf borderId="6" fillId="6" fontId="8" numFmtId="169" xfId="0" applyBorder="1" applyFont="1" applyNumberFormat="1"/>
    <xf borderId="6" fillId="0" fontId="5" numFmtId="0" xfId="0" applyAlignment="1" applyBorder="1" applyFont="1">
      <alignment vertical="bottom"/>
    </xf>
    <xf borderId="6" fillId="0" fontId="5" numFmtId="169" xfId="0" applyAlignment="1" applyBorder="1" applyFont="1" applyNumberFormat="1">
      <alignment horizontal="right" vertical="bottom"/>
    </xf>
    <xf borderId="6" fillId="0" fontId="4" numFmtId="170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6" fontId="4" numFmtId="0" xfId="0" applyFont="1"/>
    <xf borderId="0" fillId="6" fontId="5" numFmtId="0" xfId="0" applyAlignment="1" applyFont="1">
      <alignment readingOrder="0"/>
    </xf>
    <xf borderId="0" fillId="6" fontId="5" numFmtId="0" xfId="0" applyFont="1"/>
    <xf borderId="0" fillId="6" fontId="4" numFmtId="0" xfId="0" applyAlignment="1" applyFont="1">
      <alignment horizontal="right"/>
    </xf>
    <xf borderId="0" fillId="6" fontId="4" numFmtId="0" xfId="0" applyAlignment="1" applyFont="1">
      <alignment horizontal="center"/>
    </xf>
    <xf borderId="0" fillId="6" fontId="4" numFmtId="166" xfId="0" applyAlignment="1" applyFont="1" applyNumberFormat="1">
      <alignment horizontal="center"/>
    </xf>
    <xf borderId="0" fillId="6" fontId="5" numFmtId="0" xfId="0" applyAlignment="1" applyFont="1">
      <alignment horizontal="center"/>
    </xf>
    <xf borderId="0" fillId="6" fontId="4" numFmtId="171" xfId="0" applyAlignment="1" applyFont="1" applyNumberFormat="1">
      <alignment horizontal="right" readingOrder="0"/>
    </xf>
    <xf borderId="0" fillId="6" fontId="4" numFmtId="171" xfId="0" applyAlignment="1" applyFont="1" applyNumberFormat="1">
      <alignment readingOrder="0"/>
    </xf>
    <xf borderId="0" fillId="6" fontId="4" numFmtId="9" xfId="0" applyAlignment="1" applyFont="1" applyNumberFormat="1">
      <alignment readingOrder="0"/>
    </xf>
    <xf borderId="0" fillId="6" fontId="14" numFmtId="168" xfId="0" applyAlignment="1" applyFont="1" applyNumberFormat="1">
      <alignment horizontal="right"/>
    </xf>
    <xf borderId="0" fillId="6" fontId="4" numFmtId="0" xfId="0" applyAlignment="1" applyFont="1">
      <alignment horizontal="left" readingOrder="0"/>
    </xf>
    <xf borderId="0" fillId="6" fontId="4" numFmtId="10" xfId="0" applyAlignment="1" applyFont="1" applyNumberFormat="1">
      <alignment horizontal="center" readingOrder="0"/>
    </xf>
    <xf borderId="0" fillId="6" fontId="4" numFmtId="9" xfId="0" applyAlignment="1" applyFont="1" applyNumberFormat="1">
      <alignment horizontal="center" readingOrder="0"/>
    </xf>
    <xf borderId="0" fillId="6" fontId="4" numFmtId="0" xfId="0" applyAlignment="1" applyFont="1">
      <alignment horizontal="center"/>
    </xf>
    <xf borderId="0" fillId="6" fontId="8" numFmtId="168" xfId="0" applyAlignment="1" applyFont="1" applyNumberFormat="1">
      <alignment horizontal="right" readingOrder="0"/>
    </xf>
    <xf borderId="0" fillId="6" fontId="4" numFmtId="0" xfId="0" applyAlignment="1" applyFont="1">
      <alignment readingOrder="0" shrinkToFit="0" wrapText="1"/>
    </xf>
    <xf borderId="0" fillId="6" fontId="5" numFmtId="168" xfId="0" applyAlignment="1" applyFont="1" applyNumberFormat="1">
      <alignment horizontal="right"/>
    </xf>
    <xf borderId="0" fillId="6" fontId="4" numFmtId="166" xfId="0" applyAlignment="1" applyFont="1" applyNumberFormat="1">
      <alignment horizontal="center" readingOrder="0"/>
    </xf>
    <xf borderId="0" fillId="6" fontId="4" numFmtId="0" xfId="0" applyAlignment="1" applyFont="1">
      <alignment horizontal="left"/>
    </xf>
    <xf borderId="0" fillId="6" fontId="4" numFmtId="166" xfId="0" applyFont="1" applyNumberFormat="1"/>
    <xf borderId="0" fillId="3" fontId="10" numFmtId="0" xfId="0" applyAlignment="1" applyFont="1">
      <alignment horizontal="center" vertical="bottom"/>
    </xf>
    <xf borderId="0" fillId="3" fontId="10" numFmtId="0" xfId="0" applyAlignment="1" applyFont="1">
      <alignment vertical="bottom"/>
    </xf>
    <xf borderId="0" fillId="3" fontId="10" numFmtId="0" xfId="0" applyAlignment="1" applyFont="1">
      <alignment horizontal="right" vertical="bottom"/>
    </xf>
    <xf borderId="0" fillId="0" fontId="4" numFmtId="169" xfId="0" applyAlignment="1" applyFont="1" applyNumberFormat="1">
      <alignment horizontal="right" vertical="bottom"/>
    </xf>
    <xf borderId="0" fillId="0" fontId="4" numFmtId="172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69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2" xfId="0" applyAlignment="1" applyFont="1" applyNumberFormat="1">
      <alignment vertical="bottom"/>
    </xf>
    <xf borderId="6" fillId="8" fontId="5" numFmtId="0" xfId="0" applyAlignment="1" applyBorder="1" applyFill="1" applyFont="1">
      <alignment vertical="bottom"/>
    </xf>
    <xf borderId="6" fillId="8" fontId="5" numFmtId="10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5" fillId="0" fontId="4" numFmtId="0" xfId="0" applyAlignment="1" applyBorder="1" applyFont="1">
      <alignment vertical="bottom"/>
    </xf>
    <xf borderId="5" fillId="0" fontId="4" numFmtId="169" xfId="0" applyAlignment="1" applyBorder="1" applyFont="1" applyNumberFormat="1">
      <alignment horizontal="right" vertical="bottom"/>
    </xf>
    <xf borderId="11" fillId="0" fontId="16" numFmtId="0" xfId="0" applyAlignment="1" applyBorder="1" applyFont="1">
      <alignment horizontal="center" readingOrder="0" shrinkToFit="0" wrapText="1"/>
    </xf>
    <xf borderId="7" fillId="0" fontId="16" numFmtId="0" xfId="0" applyAlignment="1" applyBorder="1" applyFont="1">
      <alignment horizontal="center" readingOrder="0"/>
    </xf>
    <xf borderId="12" fillId="0" fontId="9" numFmtId="0" xfId="0" applyBorder="1" applyFont="1"/>
    <xf borderId="10" fillId="0" fontId="9" numFmtId="0" xfId="0" applyBorder="1" applyFont="1"/>
    <xf borderId="0" fillId="9" fontId="17" numFmtId="10" xfId="0" applyAlignment="1" applyFill="1" applyFont="1" applyNumberFormat="1">
      <alignment horizontal="right" readingOrder="0" shrinkToFit="0" vertical="bottom" wrapText="0"/>
    </xf>
    <xf borderId="13" fillId="0" fontId="4" numFmtId="169" xfId="0" applyAlignment="1" applyBorder="1" applyFont="1" applyNumberFormat="1">
      <alignment horizontal="right"/>
    </xf>
    <xf borderId="14" fillId="0" fontId="4" numFmtId="169" xfId="0" applyAlignment="1" applyBorder="1" applyFont="1" applyNumberFormat="1">
      <alignment horizontal="right"/>
    </xf>
    <xf borderId="15" fillId="0" fontId="14" numFmtId="0" xfId="0" applyAlignment="1" applyBorder="1" applyFont="1">
      <alignment horizontal="right" readingOrder="0" shrinkToFit="0" vertical="bottom" wrapText="0"/>
    </xf>
    <xf borderId="0" fillId="10" fontId="18" numFmtId="0" xfId="0" applyAlignment="1" applyFill="1" applyFont="1">
      <alignment horizontal="right" readingOrder="0" shrinkToFit="0" vertical="bottom" wrapText="0"/>
    </xf>
    <xf borderId="0" fillId="10" fontId="18" numFmtId="10" xfId="0" applyAlignment="1" applyFont="1" applyNumberFormat="1">
      <alignment horizontal="right" readingOrder="0" shrinkToFit="0" vertical="bottom" wrapText="0"/>
    </xf>
    <xf borderId="0" fillId="0" fontId="14" numFmtId="10" xfId="0" applyAlignment="1" applyFont="1" applyNumberFormat="1">
      <alignment horizontal="right" readingOrder="0" shrinkToFit="0" vertical="bottom" wrapText="0"/>
    </xf>
    <xf borderId="15" fillId="0" fontId="14" numFmtId="10" xfId="0" applyAlignment="1" applyBorder="1" applyFont="1" applyNumberFormat="1">
      <alignment horizontal="right" readingOrder="0" shrinkToFit="0" vertical="bottom" wrapText="0"/>
    </xf>
    <xf borderId="9" fillId="0" fontId="9" numFmtId="0" xfId="0" applyBorder="1" applyFont="1"/>
    <xf borderId="14" fillId="0" fontId="14" numFmtId="0" xfId="0" applyAlignment="1" applyBorder="1" applyFont="1">
      <alignment horizontal="right" readingOrder="0" shrinkToFit="0" vertical="bottom" wrapText="0"/>
    </xf>
    <xf borderId="13" fillId="0" fontId="14" numFmtId="10" xfId="0" applyAlignment="1" applyBorder="1" applyFont="1" applyNumberFormat="1">
      <alignment horizontal="right" readingOrder="0" shrinkToFit="0" vertical="bottom" wrapText="0"/>
    </xf>
    <xf borderId="14" fillId="0" fontId="14" numFmtId="10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1.5"/>
    <col customWidth="1" min="3" max="3" width="40.75"/>
    <col customWidth="1" min="4" max="4" width="16.63"/>
    <col customWidth="1" min="8" max="8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4"/>
      <c r="F2" s="4"/>
      <c r="G2" s="4"/>
      <c r="H2" s="4"/>
      <c r="I2" s="5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7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tr">
        <f>" Alpino Protein Café"</f>
        <v> Alpino Protein Café</v>
      </c>
      <c r="C4" s="7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/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" t="s">
        <v>1</v>
      </c>
      <c r="C6" s="10" t="s">
        <v>2</v>
      </c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/>
      <c r="C7" s="1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3</v>
      </c>
      <c r="C8" s="14"/>
      <c r="D8" s="15"/>
      <c r="E8" s="15"/>
      <c r="F8" s="15"/>
      <c r="G8" s="15"/>
      <c r="H8" s="15"/>
      <c r="I8" s="15"/>
      <c r="J8" s="15"/>
      <c r="K8" s="1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 t="s">
        <v>4</v>
      </c>
      <c r="C9" s="16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7" t="s">
        <v>6</v>
      </c>
      <c r="C10" s="18">
        <v>800.0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7</v>
      </c>
      <c r="C11" s="19">
        <v>30.0</v>
      </c>
      <c r="D11" s="1"/>
      <c r="E11" s="2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 t="s">
        <v>8</v>
      </c>
      <c r="C12" s="21">
        <v>9.0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2" t="s">
        <v>9</v>
      </c>
      <c r="C14" s="14"/>
      <c r="D14" s="15"/>
      <c r="E14" s="15"/>
      <c r="F14" s="15"/>
      <c r="G14" s="15"/>
      <c r="H14" s="15"/>
      <c r="I14" s="15"/>
      <c r="J14" s="15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">
        <v>10</v>
      </c>
      <c r="C15" s="23">
        <v>40.0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4" t="s">
        <v>11</v>
      </c>
      <c r="C16" s="25">
        <f>40*62%</f>
        <v>24.8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6" t="s">
        <v>12</v>
      </c>
      <c r="C17" s="27">
        <f>C15-C16</f>
        <v>15.2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 t="s">
        <v>13</v>
      </c>
      <c r="C18" s="28">
        <v>60.0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4" t="s">
        <v>14</v>
      </c>
      <c r="C19" s="28">
        <v>22.0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4" t="s">
        <v>15</v>
      </c>
      <c r="C20" s="28">
        <v>8.0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9"/>
      <c r="B21" s="6" t="s">
        <v>16</v>
      </c>
      <c r="C21" s="30">
        <v>300.0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9" t="s">
        <v>17</v>
      </c>
      <c r="C22" s="21">
        <v>80.0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9" t="s">
        <v>18</v>
      </c>
      <c r="C23" s="21">
        <v>105.0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6" t="s">
        <v>19</v>
      </c>
      <c r="C24" s="31">
        <f>C22*30</f>
        <v>2400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6" t="s">
        <v>20</v>
      </c>
      <c r="C25" s="31">
        <f>C24*12</f>
        <v>28800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32" t="s">
        <v>21</v>
      </c>
      <c r="C26" s="33">
        <v>0.07</v>
      </c>
      <c r="D26" s="34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1"/>
      <c r="B27" s="34" t="s">
        <v>22</v>
      </c>
      <c r="C27" s="35">
        <v>0.005</v>
      </c>
      <c r="D27" s="34"/>
      <c r="E27" s="29"/>
      <c r="F27" s="29"/>
      <c r="G27" s="29"/>
      <c r="H27" s="29"/>
      <c r="I27" s="29"/>
      <c r="J27" s="29"/>
      <c r="K27" s="2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6" t="s">
        <v>23</v>
      </c>
      <c r="C28" s="33">
        <v>0.15</v>
      </c>
      <c r="D28" s="3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6" t="s">
        <v>24</v>
      </c>
      <c r="C29" s="35">
        <v>0.05</v>
      </c>
      <c r="D29" s="3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9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8"/>
      <c r="C34" s="3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8"/>
      <c r="C35" s="3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38"/>
      <c r="C36" s="38"/>
      <c r="D36" s="25"/>
      <c r="E36" s="3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3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9"/>
      <c r="C38" s="1"/>
      <c r="D38" s="1"/>
      <c r="E38" s="3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9"/>
      <c r="C39" s="1"/>
      <c r="D39" s="1"/>
      <c r="E39" s="3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9"/>
      <c r="C40" s="1"/>
      <c r="D40" s="1"/>
      <c r="E40" s="3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9"/>
      <c r="C41" s="1"/>
      <c r="D41" s="1"/>
      <c r="E41" s="4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9"/>
      <c r="C42" s="1"/>
      <c r="D42" s="1"/>
      <c r="E42" s="4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3D64"/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1.5"/>
    <col customWidth="1" min="3" max="3" width="22.5"/>
    <col customWidth="1" min="4" max="4" width="19.75"/>
    <col customWidth="1" min="5" max="12" width="13.75"/>
    <col customWidth="1" min="13" max="13" width="15.38"/>
    <col customWidth="1" min="14" max="14" width="16.63"/>
    <col customWidth="1" min="15" max="26" width="8.63"/>
  </cols>
  <sheetData>
    <row r="1" ht="14.25" customHeight="1">
      <c r="A1" s="41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0"/>
      <c r="B2" s="42" t="str">
        <f>"Income Statement of" &amp; Assumptions!$B$4</f>
        <v>Income Statement of Alpino Protein Café</v>
      </c>
      <c r="C2" s="43"/>
      <c r="D2" s="43"/>
      <c r="E2" s="43"/>
      <c r="F2" s="43"/>
      <c r="G2" s="43"/>
      <c r="H2" s="43"/>
      <c r="I2" s="43"/>
      <c r="J2" s="43"/>
      <c r="K2" s="43"/>
      <c r="L2" s="44"/>
      <c r="M2" s="5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4.25" customHeight="1">
      <c r="A3" s="40"/>
      <c r="B3" s="45" t="s">
        <v>25</v>
      </c>
      <c r="C3" s="46" t="s">
        <v>26</v>
      </c>
      <c r="D3" s="47">
        <v>1.0</v>
      </c>
      <c r="E3" s="47">
        <v>2.0</v>
      </c>
      <c r="F3" s="48">
        <f t="shared" ref="F3:N3" si="1">E3+1</f>
        <v>3</v>
      </c>
      <c r="G3" s="48">
        <f t="shared" si="1"/>
        <v>4</v>
      </c>
      <c r="H3" s="48">
        <f t="shared" si="1"/>
        <v>5</v>
      </c>
      <c r="I3" s="48">
        <f t="shared" si="1"/>
        <v>6</v>
      </c>
      <c r="J3" s="48">
        <f t="shared" si="1"/>
        <v>7</v>
      </c>
      <c r="K3" s="48">
        <f t="shared" si="1"/>
        <v>8</v>
      </c>
      <c r="L3" s="48">
        <f t="shared" si="1"/>
        <v>9</v>
      </c>
      <c r="M3" s="48">
        <f t="shared" si="1"/>
        <v>10</v>
      </c>
      <c r="N3" s="48">
        <f t="shared" si="1"/>
        <v>11</v>
      </c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4.25" customHeight="1">
      <c r="A4" s="40"/>
      <c r="B4" s="49" t="s">
        <v>27</v>
      </c>
      <c r="C4" s="50"/>
      <c r="D4" s="51">
        <v>0.0</v>
      </c>
      <c r="E4" s="51">
        <v>0.0</v>
      </c>
      <c r="F4" s="51">
        <v>0.0</v>
      </c>
      <c r="G4" s="52">
        <v>0.05</v>
      </c>
      <c r="H4" s="52">
        <v>0.1</v>
      </c>
      <c r="I4" s="52">
        <v>0.1</v>
      </c>
      <c r="J4" s="52">
        <v>0.1</v>
      </c>
      <c r="K4" s="52">
        <v>0.1</v>
      </c>
      <c r="L4" s="52">
        <v>0.1</v>
      </c>
      <c r="M4" s="52">
        <v>0.1</v>
      </c>
      <c r="N4" s="52">
        <v>0.1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4.25" customHeight="1">
      <c r="A5" s="40"/>
      <c r="B5" s="40" t="s">
        <v>28</v>
      </c>
      <c r="C5" s="50">
        <f>A33</f>
        <v>1</v>
      </c>
      <c r="D5" s="53">
        <f>E36</f>
        <v>9360000</v>
      </c>
      <c r="E5" s="53">
        <f t="shared" ref="E5:N5" si="2">D5*(1+E4)</f>
        <v>9360000</v>
      </c>
      <c r="F5" s="53">
        <f t="shared" si="2"/>
        <v>9360000</v>
      </c>
      <c r="G5" s="53">
        <f t="shared" si="2"/>
        <v>9828000</v>
      </c>
      <c r="H5" s="53">
        <f t="shared" si="2"/>
        <v>10810800</v>
      </c>
      <c r="I5" s="53">
        <f t="shared" si="2"/>
        <v>11891880</v>
      </c>
      <c r="J5" s="53">
        <f t="shared" si="2"/>
        <v>13081068</v>
      </c>
      <c r="K5" s="53">
        <f t="shared" si="2"/>
        <v>14389174.8</v>
      </c>
      <c r="L5" s="53">
        <f t="shared" si="2"/>
        <v>15828092.28</v>
      </c>
      <c r="M5" s="53">
        <f t="shared" si="2"/>
        <v>17410901.51</v>
      </c>
      <c r="N5" s="53">
        <f t="shared" si="2"/>
        <v>19151991.66</v>
      </c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4.25" customHeight="1">
      <c r="A6" s="54"/>
      <c r="B6" s="40"/>
      <c r="C6" s="55"/>
      <c r="D6" s="53"/>
      <c r="E6" s="53" t="str">
        <f>D6</f>
        <v/>
      </c>
      <c r="F6" s="56"/>
      <c r="G6" s="56"/>
      <c r="H6" s="57"/>
      <c r="I6" s="56"/>
      <c r="J6" s="56"/>
      <c r="K6" s="56"/>
      <c r="L6" s="56"/>
      <c r="M6" s="56"/>
      <c r="N6" s="56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4.25" customHeight="1">
      <c r="A7" s="54"/>
      <c r="B7" s="40" t="s">
        <v>29</v>
      </c>
      <c r="C7" s="50">
        <f>A45</f>
        <v>3</v>
      </c>
      <c r="D7" s="53">
        <f>D50</f>
        <v>3582000</v>
      </c>
      <c r="E7" s="53">
        <f>D7*(1+Assumptions!$C$26)</f>
        <v>3832740</v>
      </c>
      <c r="F7" s="53">
        <f>E7*(1+Assumptions!$C$26)</f>
        <v>4101031.8</v>
      </c>
      <c r="G7" s="53">
        <f>F7*(1+Assumptions!$C$26)</f>
        <v>4388104.026</v>
      </c>
      <c r="H7" s="53">
        <f>G7*(1+Assumptions!$C$26)</f>
        <v>4695271.308</v>
      </c>
      <c r="I7" s="53">
        <f>H7*(1+Assumptions!$C$26)</f>
        <v>5023940.299</v>
      </c>
      <c r="J7" s="53">
        <f>I7*(1+Assumptions!$C$26)</f>
        <v>5375616.12</v>
      </c>
      <c r="K7" s="53">
        <f>J7*(1+Assumptions!$C$26)</f>
        <v>5751909.249</v>
      </c>
      <c r="L7" s="53">
        <f>K7*(1+Assumptions!$C$26)</f>
        <v>6154542.896</v>
      </c>
      <c r="M7" s="53">
        <f>L7*(1+Assumptions!$C$26)</f>
        <v>6585360.899</v>
      </c>
      <c r="N7" s="53">
        <f>M7*(1+Assumptions!$C$26)</f>
        <v>7046336.162</v>
      </c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4.25" customHeight="1">
      <c r="A8" s="58"/>
      <c r="B8" s="49" t="s">
        <v>30</v>
      </c>
      <c r="C8" s="58"/>
      <c r="D8" s="59">
        <f t="shared" ref="D8:N8" si="3">D7/D$5</f>
        <v>0.3826923077</v>
      </c>
      <c r="E8" s="59">
        <f t="shared" si="3"/>
        <v>0.4094807692</v>
      </c>
      <c r="F8" s="59">
        <f t="shared" si="3"/>
        <v>0.4381444231</v>
      </c>
      <c r="G8" s="59">
        <f t="shared" si="3"/>
        <v>0.4464900311</v>
      </c>
      <c r="H8" s="59">
        <f t="shared" si="3"/>
        <v>0.4343130303</v>
      </c>
      <c r="I8" s="59">
        <f t="shared" si="3"/>
        <v>0.4224681295</v>
      </c>
      <c r="J8" s="59">
        <f t="shared" si="3"/>
        <v>0.4109462714</v>
      </c>
      <c r="K8" s="59">
        <f t="shared" si="3"/>
        <v>0.3997386458</v>
      </c>
      <c r="L8" s="59">
        <f t="shared" si="3"/>
        <v>0.3888366827</v>
      </c>
      <c r="M8" s="59">
        <f t="shared" si="3"/>
        <v>0.3782320459</v>
      </c>
      <c r="N8" s="59">
        <f t="shared" si="3"/>
        <v>0.3679166265</v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4.25" customHeight="1">
      <c r="A9" s="40"/>
      <c r="B9" s="40"/>
      <c r="C9" s="40"/>
      <c r="D9" s="53"/>
      <c r="E9" s="60"/>
      <c r="F9" s="60"/>
      <c r="G9" s="60"/>
      <c r="H9" s="60"/>
      <c r="I9" s="60"/>
      <c r="J9" s="60"/>
      <c r="K9" s="60"/>
      <c r="L9" s="60"/>
      <c r="M9" s="60"/>
      <c r="N9" s="6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8.5" customHeight="1">
      <c r="A10" s="40"/>
      <c r="B10" s="61" t="s">
        <v>31</v>
      </c>
      <c r="C10" s="62"/>
      <c r="D10" s="63">
        <f t="shared" ref="D10:N10" si="4">D5-D7</f>
        <v>5778000</v>
      </c>
      <c r="E10" s="63">
        <f t="shared" si="4"/>
        <v>5527260</v>
      </c>
      <c r="F10" s="63">
        <f t="shared" si="4"/>
        <v>5258968.2</v>
      </c>
      <c r="G10" s="63">
        <f t="shared" si="4"/>
        <v>5439895.974</v>
      </c>
      <c r="H10" s="63">
        <f t="shared" si="4"/>
        <v>6115528.692</v>
      </c>
      <c r="I10" s="63">
        <f t="shared" si="4"/>
        <v>6867939.701</v>
      </c>
      <c r="J10" s="63">
        <f t="shared" si="4"/>
        <v>7705451.88</v>
      </c>
      <c r="K10" s="63">
        <f t="shared" si="4"/>
        <v>8637265.551</v>
      </c>
      <c r="L10" s="63">
        <f t="shared" si="4"/>
        <v>9673549.384</v>
      </c>
      <c r="M10" s="63">
        <f t="shared" si="4"/>
        <v>10825540.61</v>
      </c>
      <c r="N10" s="63">
        <f t="shared" si="4"/>
        <v>12105655.5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4.25" customHeight="1">
      <c r="A11" s="58"/>
      <c r="B11" s="49" t="s">
        <v>32</v>
      </c>
      <c r="C11" s="58"/>
      <c r="D11" s="59">
        <f t="shared" ref="D11:N11" si="5">D10/D5</f>
        <v>0.6173076923</v>
      </c>
      <c r="E11" s="59">
        <f t="shared" si="5"/>
        <v>0.5905192308</v>
      </c>
      <c r="F11" s="59">
        <f t="shared" si="5"/>
        <v>0.5618555769</v>
      </c>
      <c r="G11" s="59">
        <f t="shared" si="5"/>
        <v>0.5535099689</v>
      </c>
      <c r="H11" s="59">
        <f t="shared" si="5"/>
        <v>0.5656869697</v>
      </c>
      <c r="I11" s="59">
        <f t="shared" si="5"/>
        <v>0.5775318705</v>
      </c>
      <c r="J11" s="59">
        <f t="shared" si="5"/>
        <v>0.5890537286</v>
      </c>
      <c r="K11" s="59">
        <f t="shared" si="5"/>
        <v>0.6002613542</v>
      </c>
      <c r="L11" s="59">
        <f t="shared" si="5"/>
        <v>0.6111633173</v>
      </c>
      <c r="M11" s="59">
        <f t="shared" si="5"/>
        <v>0.6217679541</v>
      </c>
      <c r="N11" s="59">
        <f t="shared" si="5"/>
        <v>0.6320833735</v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4.25" customHeight="1">
      <c r="A12" s="40"/>
      <c r="B12" s="50"/>
      <c r="C12" s="4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4.25" customHeight="1">
      <c r="A13" s="40"/>
      <c r="B13" s="50" t="s">
        <v>33</v>
      </c>
      <c r="C13" s="50">
        <f>A53</f>
        <v>4</v>
      </c>
      <c r="D13" s="53">
        <f t="shared" ref="D13:N13" si="6">D56</f>
        <v>2100000</v>
      </c>
      <c r="E13" s="53">
        <f t="shared" si="6"/>
        <v>2180100</v>
      </c>
      <c r="F13" s="53">
        <f t="shared" si="6"/>
        <v>2271040.5</v>
      </c>
      <c r="G13" s="53">
        <f t="shared" si="6"/>
        <v>2374441.703</v>
      </c>
      <c r="H13" s="53">
        <f t="shared" si="6"/>
        <v>2492166.811</v>
      </c>
      <c r="I13" s="53">
        <f t="shared" si="6"/>
        <v>2626358.48</v>
      </c>
      <c r="J13" s="53">
        <f t="shared" si="6"/>
        <v>2779480.733</v>
      </c>
      <c r="K13" s="53">
        <f t="shared" si="6"/>
        <v>2954367.166</v>
      </c>
      <c r="L13" s="53">
        <f t="shared" si="6"/>
        <v>3154276.385</v>
      </c>
      <c r="M13" s="53">
        <f t="shared" si="6"/>
        <v>3382955.758</v>
      </c>
      <c r="N13" s="53">
        <f t="shared" si="6"/>
        <v>3644714.727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5.75" customHeight="1">
      <c r="A14" s="40"/>
      <c r="B14" s="50" t="s">
        <v>34</v>
      </c>
      <c r="C14" s="40"/>
      <c r="D14" s="53">
        <f>D66</f>
        <v>2550000</v>
      </c>
      <c r="E14" s="53">
        <f>D14*(1+Assumptions!$C$29)</f>
        <v>2677500</v>
      </c>
      <c r="F14" s="53">
        <f>E14*(1+Assumptions!$C$29)</f>
        <v>2811375</v>
      </c>
      <c r="G14" s="53">
        <f>F14*(1+Assumptions!$C$29)</f>
        <v>2951943.75</v>
      </c>
      <c r="H14" s="53">
        <f>G14*(1+Assumptions!$C$29)</f>
        <v>3099540.938</v>
      </c>
      <c r="I14" s="53">
        <f>H14*(1+Assumptions!$C$29)</f>
        <v>3254517.984</v>
      </c>
      <c r="J14" s="53">
        <f>I14*(1+Assumptions!$C$29)</f>
        <v>3417243.884</v>
      </c>
      <c r="K14" s="53">
        <f>J14*(1+Assumptions!$C$29)</f>
        <v>3588106.078</v>
      </c>
      <c r="L14" s="53">
        <f>K14*(1+Assumptions!$C$29)</f>
        <v>3767511.382</v>
      </c>
      <c r="M14" s="53">
        <f>L14*(1+Assumptions!$C$29)</f>
        <v>3955886.951</v>
      </c>
      <c r="N14" s="53">
        <f>M14*(1+Assumptions!$C$29)</f>
        <v>4153681.298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28.5" customHeight="1">
      <c r="A15" s="40"/>
      <c r="B15" s="50" t="s">
        <v>35</v>
      </c>
      <c r="C15" s="64">
        <f>A69</f>
        <v>7</v>
      </c>
      <c r="D15" s="53">
        <f t="shared" ref="D15:N15" si="7">$C$79</f>
        <v>265000</v>
      </c>
      <c r="E15" s="53">
        <f t="shared" si="7"/>
        <v>265000</v>
      </c>
      <c r="F15" s="53">
        <f t="shared" si="7"/>
        <v>265000</v>
      </c>
      <c r="G15" s="53">
        <f t="shared" si="7"/>
        <v>265000</v>
      </c>
      <c r="H15" s="53">
        <f t="shared" si="7"/>
        <v>265000</v>
      </c>
      <c r="I15" s="53">
        <f t="shared" si="7"/>
        <v>265000</v>
      </c>
      <c r="J15" s="53">
        <f t="shared" si="7"/>
        <v>265000</v>
      </c>
      <c r="K15" s="53">
        <f t="shared" si="7"/>
        <v>265000</v>
      </c>
      <c r="L15" s="53">
        <f t="shared" si="7"/>
        <v>265000</v>
      </c>
      <c r="M15" s="53">
        <f t="shared" si="7"/>
        <v>265000</v>
      </c>
      <c r="N15" s="53">
        <f t="shared" si="7"/>
        <v>265000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28.5" customHeight="1">
      <c r="A16" s="40"/>
      <c r="B16" s="61" t="s">
        <v>36</v>
      </c>
      <c r="C16" s="65"/>
      <c r="D16" s="63">
        <f t="shared" ref="D16:N16" si="8">D10-D13-D14-D15</f>
        <v>863000</v>
      </c>
      <c r="E16" s="63">
        <f t="shared" si="8"/>
        <v>404660</v>
      </c>
      <c r="F16" s="63">
        <f t="shared" si="8"/>
        <v>-88447.3</v>
      </c>
      <c r="G16" s="63">
        <f t="shared" si="8"/>
        <v>-151489.4785</v>
      </c>
      <c r="H16" s="63">
        <f t="shared" si="8"/>
        <v>258820.9437</v>
      </c>
      <c r="I16" s="63">
        <f t="shared" si="8"/>
        <v>722063.2362</v>
      </c>
      <c r="J16" s="63">
        <f t="shared" si="8"/>
        <v>1243727.263</v>
      </c>
      <c r="K16" s="63">
        <f t="shared" si="8"/>
        <v>1829792.308</v>
      </c>
      <c r="L16" s="63">
        <f t="shared" si="8"/>
        <v>2486761.617</v>
      </c>
      <c r="M16" s="63">
        <f t="shared" si="8"/>
        <v>3221697.9</v>
      </c>
      <c r="N16" s="63">
        <f t="shared" si="8"/>
        <v>4042259.472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4.25" customHeight="1">
      <c r="A17" s="58"/>
      <c r="B17" s="49" t="s">
        <v>37</v>
      </c>
      <c r="C17" s="58"/>
      <c r="D17" s="59">
        <f t="shared" ref="D17:N17" si="9">D16/D5</f>
        <v>0.0922008547</v>
      </c>
      <c r="E17" s="59">
        <f t="shared" si="9"/>
        <v>0.04323290598</v>
      </c>
      <c r="F17" s="59">
        <f t="shared" si="9"/>
        <v>-0.009449497863</v>
      </c>
      <c r="G17" s="59">
        <f t="shared" si="9"/>
        <v>-0.01541406985</v>
      </c>
      <c r="H17" s="59">
        <f t="shared" si="9"/>
        <v>0.02394096123</v>
      </c>
      <c r="I17" s="59">
        <f t="shared" si="9"/>
        <v>0.06071901467</v>
      </c>
      <c r="J17" s="59">
        <f t="shared" si="9"/>
        <v>0.09507841893</v>
      </c>
      <c r="K17" s="59">
        <f t="shared" si="9"/>
        <v>0.1271645062</v>
      </c>
      <c r="L17" s="59">
        <f t="shared" si="9"/>
        <v>0.1571106342</v>
      </c>
      <c r="M17" s="59">
        <f t="shared" si="9"/>
        <v>0.1850391204</v>
      </c>
      <c r="N17" s="59">
        <f t="shared" si="9"/>
        <v>0.2110620944</v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4.25" customHeight="1">
      <c r="A18" s="40"/>
      <c r="B18" s="40"/>
      <c r="C18" s="40"/>
      <c r="D18" s="66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4.25" customHeight="1">
      <c r="A19" s="40"/>
      <c r="B19" s="50" t="s">
        <v>38</v>
      </c>
      <c r="C19" s="50">
        <f>A82</f>
        <v>8</v>
      </c>
      <c r="D19" s="53">
        <f>C85</f>
        <v>220000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4.25" customHeight="1">
      <c r="A20" s="40"/>
      <c r="B20" s="50"/>
      <c r="C20" s="4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4.25" customHeight="1">
      <c r="A21" s="40"/>
      <c r="B21" s="61" t="s">
        <v>39</v>
      </c>
      <c r="C21" s="62"/>
      <c r="D21" s="63">
        <f t="shared" ref="D21:N21" si="10">D16-D19</f>
        <v>643000</v>
      </c>
      <c r="E21" s="63">
        <f t="shared" si="10"/>
        <v>404660</v>
      </c>
      <c r="F21" s="63">
        <f t="shared" si="10"/>
        <v>-88447.3</v>
      </c>
      <c r="G21" s="63">
        <f t="shared" si="10"/>
        <v>-151489.4785</v>
      </c>
      <c r="H21" s="63">
        <f t="shared" si="10"/>
        <v>258820.9437</v>
      </c>
      <c r="I21" s="63">
        <f t="shared" si="10"/>
        <v>722063.2362</v>
      </c>
      <c r="J21" s="63">
        <f t="shared" si="10"/>
        <v>1243727.263</v>
      </c>
      <c r="K21" s="63">
        <f t="shared" si="10"/>
        <v>1829792.308</v>
      </c>
      <c r="L21" s="63">
        <f t="shared" si="10"/>
        <v>2486761.617</v>
      </c>
      <c r="M21" s="63">
        <f t="shared" si="10"/>
        <v>3221697.9</v>
      </c>
      <c r="N21" s="63">
        <f t="shared" si="10"/>
        <v>4042259.472</v>
      </c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4.25" customHeight="1">
      <c r="A22" s="58"/>
      <c r="B22" s="49" t="s">
        <v>40</v>
      </c>
      <c r="C22" s="58"/>
      <c r="D22" s="59">
        <f t="shared" ref="D22:N22" si="11">D21/D5</f>
        <v>0.0686965812</v>
      </c>
      <c r="E22" s="59">
        <f t="shared" si="11"/>
        <v>0.04323290598</v>
      </c>
      <c r="F22" s="59">
        <f t="shared" si="11"/>
        <v>-0.009449497863</v>
      </c>
      <c r="G22" s="59">
        <f t="shared" si="11"/>
        <v>-0.01541406985</v>
      </c>
      <c r="H22" s="59">
        <f t="shared" si="11"/>
        <v>0.02394096123</v>
      </c>
      <c r="I22" s="59">
        <f t="shared" si="11"/>
        <v>0.06071901467</v>
      </c>
      <c r="J22" s="59">
        <f t="shared" si="11"/>
        <v>0.09507841893</v>
      </c>
      <c r="K22" s="59">
        <f t="shared" si="11"/>
        <v>0.1271645062</v>
      </c>
      <c r="L22" s="59">
        <f t="shared" si="11"/>
        <v>0.1571106342</v>
      </c>
      <c r="M22" s="59">
        <f t="shared" si="11"/>
        <v>0.1850391204</v>
      </c>
      <c r="N22" s="59">
        <f t="shared" si="11"/>
        <v>0.2110620944</v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4.25" customHeight="1">
      <c r="A23" s="40"/>
      <c r="B23" s="40"/>
      <c r="C23" s="4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4.25" customHeight="1">
      <c r="A24" s="40"/>
      <c r="B24" s="50" t="s">
        <v>41</v>
      </c>
      <c r="C24" s="40"/>
      <c r="D24" s="66">
        <v>0.0</v>
      </c>
      <c r="E24" s="66">
        <v>0.0</v>
      </c>
      <c r="F24" s="66">
        <v>0.0</v>
      </c>
      <c r="G24" s="66">
        <v>0.0</v>
      </c>
      <c r="H24" s="66">
        <v>0.0</v>
      </c>
      <c r="I24" s="66">
        <v>0.0</v>
      </c>
      <c r="J24" s="66">
        <v>0.0</v>
      </c>
      <c r="K24" s="66">
        <v>0.0</v>
      </c>
      <c r="L24" s="66">
        <v>0.0</v>
      </c>
      <c r="M24" s="66">
        <v>0.0</v>
      </c>
      <c r="N24" s="66">
        <v>0.0</v>
      </c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4.25" customHeight="1">
      <c r="A25" s="40"/>
      <c r="B25" s="50"/>
      <c r="C25" s="4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4.25" customHeight="1">
      <c r="A26" s="40"/>
      <c r="B26" s="61" t="s">
        <v>42</v>
      </c>
      <c r="C26" s="62"/>
      <c r="D26" s="63">
        <f t="shared" ref="D26:N26" si="12">D21-D24</f>
        <v>643000</v>
      </c>
      <c r="E26" s="63">
        <f t="shared" si="12"/>
        <v>404660</v>
      </c>
      <c r="F26" s="63">
        <f t="shared" si="12"/>
        <v>-88447.3</v>
      </c>
      <c r="G26" s="63">
        <f t="shared" si="12"/>
        <v>-151489.4785</v>
      </c>
      <c r="H26" s="63">
        <f t="shared" si="12"/>
        <v>258820.9437</v>
      </c>
      <c r="I26" s="63">
        <f t="shared" si="12"/>
        <v>722063.2362</v>
      </c>
      <c r="J26" s="63">
        <f t="shared" si="12"/>
        <v>1243727.263</v>
      </c>
      <c r="K26" s="63">
        <f t="shared" si="12"/>
        <v>1829792.308</v>
      </c>
      <c r="L26" s="63">
        <f t="shared" si="12"/>
        <v>2486761.617</v>
      </c>
      <c r="M26" s="63">
        <f t="shared" si="12"/>
        <v>3221697.9</v>
      </c>
      <c r="N26" s="63">
        <f t="shared" si="12"/>
        <v>4042259.472</v>
      </c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4.25" customHeight="1">
      <c r="A27" s="40"/>
      <c r="B27" s="67" t="s">
        <v>40</v>
      </c>
      <c r="C27" s="36"/>
      <c r="D27" s="68">
        <f t="shared" ref="D27:N27" si="13">D26/D5</f>
        <v>0.0686965812</v>
      </c>
      <c r="E27" s="68">
        <f t="shared" si="13"/>
        <v>0.04323290598</v>
      </c>
      <c r="F27" s="68">
        <f t="shared" si="13"/>
        <v>-0.009449497863</v>
      </c>
      <c r="G27" s="68">
        <f t="shared" si="13"/>
        <v>-0.01541406985</v>
      </c>
      <c r="H27" s="68">
        <f t="shared" si="13"/>
        <v>0.02394096123</v>
      </c>
      <c r="I27" s="68">
        <f t="shared" si="13"/>
        <v>0.06071901467</v>
      </c>
      <c r="J27" s="68">
        <f t="shared" si="13"/>
        <v>0.09507841893</v>
      </c>
      <c r="K27" s="68">
        <f t="shared" si="13"/>
        <v>0.1271645062</v>
      </c>
      <c r="L27" s="68">
        <f t="shared" si="13"/>
        <v>0.1571106342</v>
      </c>
      <c r="M27" s="68">
        <f t="shared" si="13"/>
        <v>0.1850391204</v>
      </c>
      <c r="N27" s="68">
        <f t="shared" si="13"/>
        <v>0.2110620944</v>
      </c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4.2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4.2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4.2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4.2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4.25" customHeight="1">
      <c r="A32" s="40"/>
      <c r="B32" s="69" t="s">
        <v>26</v>
      </c>
      <c r="C32" s="70"/>
      <c r="D32" s="71"/>
      <c r="E32" s="72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4.25" customHeight="1">
      <c r="A33" s="73">
        <v>1.0</v>
      </c>
      <c r="B33" s="74" t="s">
        <v>28</v>
      </c>
      <c r="C33" s="75" t="s">
        <v>43</v>
      </c>
      <c r="D33" s="75" t="s">
        <v>44</v>
      </c>
      <c r="E33" s="76" t="s">
        <v>45</v>
      </c>
      <c r="F33" s="40"/>
      <c r="G33" s="40"/>
      <c r="H33" s="77"/>
      <c r="I33" s="78"/>
      <c r="J33" s="79"/>
      <c r="K33" s="79"/>
      <c r="L33" s="34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4.25" customHeight="1">
      <c r="A34" s="80"/>
      <c r="B34" s="81" t="s">
        <v>46</v>
      </c>
      <c r="C34" s="82">
        <f>Assumptions!C19*12</f>
        <v>264</v>
      </c>
      <c r="D34" s="83">
        <f>C34*Assumptions!C22</f>
        <v>21120</v>
      </c>
      <c r="E34" s="83">
        <f>D34*Assumptions!C21</f>
        <v>6336000</v>
      </c>
      <c r="F34" s="40"/>
      <c r="G34" s="40"/>
      <c r="H34" s="34"/>
      <c r="I34" s="34"/>
      <c r="J34" s="84"/>
      <c r="K34" s="77"/>
      <c r="L34" s="34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4.25" customHeight="1">
      <c r="A35" s="80"/>
      <c r="B35" s="81" t="s">
        <v>47</v>
      </c>
      <c r="C35" s="83">
        <f>Assumptions!C20*12</f>
        <v>96</v>
      </c>
      <c r="D35" s="85">
        <f>Assumptions!C23*C35</f>
        <v>10080</v>
      </c>
      <c r="E35" s="83">
        <f>D35*Assumptions!C21</f>
        <v>3024000</v>
      </c>
      <c r="F35" s="40"/>
      <c r="G35" s="40"/>
      <c r="H35" s="34"/>
      <c r="I35" s="34"/>
      <c r="J35" s="77"/>
      <c r="K35" s="77"/>
      <c r="L35" s="34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4.25" customHeight="1">
      <c r="A36" s="80"/>
      <c r="B36" s="81"/>
      <c r="C36" s="86" t="s">
        <v>48</v>
      </c>
      <c r="D36" s="87"/>
      <c r="E36" s="88">
        <f>SUM(E34:E35)</f>
        <v>9360000</v>
      </c>
      <c r="F36" s="40"/>
      <c r="G36" s="40"/>
      <c r="H36" s="34"/>
      <c r="I36" s="34"/>
      <c r="J36" s="79"/>
      <c r="K36" s="79"/>
      <c r="L36" s="34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4.25" customHeight="1">
      <c r="A37" s="40"/>
      <c r="B37" s="24"/>
      <c r="C37" s="60"/>
      <c r="D37" s="60"/>
      <c r="E37" s="40"/>
      <c r="F37" s="40"/>
      <c r="G37" s="40"/>
      <c r="H37" s="34"/>
      <c r="I37" s="34"/>
      <c r="J37" s="34"/>
      <c r="K37" s="34"/>
      <c r="L37" s="36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4.25" customHeight="1">
      <c r="A38" s="40"/>
      <c r="B38" s="24"/>
      <c r="C38" s="60"/>
      <c r="D38" s="60"/>
      <c r="E38" s="40"/>
      <c r="F38" s="40"/>
      <c r="G38" s="40"/>
      <c r="H38" s="77"/>
      <c r="I38" s="78"/>
      <c r="J38" s="79"/>
      <c r="K38" s="79"/>
      <c r="L38" s="34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4.25" customHeight="1">
      <c r="A39" s="89">
        <v>2.0</v>
      </c>
      <c r="B39" s="90" t="s">
        <v>49</v>
      </c>
      <c r="C39" s="91" t="s">
        <v>19</v>
      </c>
      <c r="D39" s="91" t="s">
        <v>20</v>
      </c>
      <c r="E39" s="40"/>
      <c r="F39" s="40"/>
      <c r="G39" s="40"/>
      <c r="H39" s="34"/>
      <c r="I39" s="34"/>
      <c r="J39" s="92"/>
      <c r="K39" s="93"/>
      <c r="L39" s="34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4.25" customHeight="1">
      <c r="A40" s="94"/>
      <c r="B40" s="94" t="s">
        <v>34</v>
      </c>
      <c r="C40" s="95">
        <v>20000.0</v>
      </c>
      <c r="D40" s="89">
        <f t="shared" ref="D40:D41" si="14">C40*12</f>
        <v>240000</v>
      </c>
      <c r="E40" s="40"/>
      <c r="F40" s="40"/>
      <c r="G40" s="40"/>
      <c r="H40" s="34"/>
      <c r="I40" s="34"/>
      <c r="J40" s="92"/>
      <c r="K40" s="93"/>
      <c r="L40" s="34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4.25" customHeight="1">
      <c r="A41" s="94"/>
      <c r="B41" s="94" t="s">
        <v>50</v>
      </c>
      <c r="C41" s="89">
        <f>14000*5</f>
        <v>70000</v>
      </c>
      <c r="D41" s="89">
        <f t="shared" si="14"/>
        <v>840000</v>
      </c>
      <c r="E41" s="40"/>
      <c r="F41" s="40"/>
      <c r="G41" s="40"/>
      <c r="H41" s="34"/>
      <c r="I41" s="34"/>
      <c r="J41" s="92"/>
      <c r="K41" s="93"/>
      <c r="L41" s="34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4.25" customHeight="1">
      <c r="A42" s="94"/>
      <c r="B42" s="94"/>
      <c r="C42" s="96">
        <f t="shared" ref="C42:D42" si="15">SUM(C40:C41)</f>
        <v>90000</v>
      </c>
      <c r="D42" s="96">
        <f t="shared" si="15"/>
        <v>1080000</v>
      </c>
      <c r="E42" s="40"/>
      <c r="F42" s="40"/>
      <c r="G42" s="40"/>
      <c r="H42" s="34"/>
      <c r="I42" s="34"/>
      <c r="J42" s="92"/>
      <c r="K42" s="93"/>
      <c r="L42" s="34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4.25" customHeight="1">
      <c r="A43" s="97"/>
      <c r="B43" s="98"/>
      <c r="C43" s="99"/>
      <c r="D43" s="99"/>
      <c r="E43" s="40"/>
      <c r="F43" s="40"/>
      <c r="G43" s="78"/>
      <c r="H43" s="79"/>
      <c r="I43" s="79"/>
      <c r="J43" s="92"/>
      <c r="K43" s="93"/>
      <c r="L43" s="34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4.25" customHeight="1">
      <c r="A44" s="97"/>
      <c r="B44" s="98"/>
      <c r="C44" s="99"/>
      <c r="D44" s="99"/>
      <c r="E44" s="40"/>
      <c r="F44" s="40"/>
      <c r="G44" s="34"/>
      <c r="H44" s="92"/>
      <c r="I44" s="93"/>
      <c r="J44" s="92"/>
      <c r="K44" s="93"/>
      <c r="L44" s="34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4.25" customHeight="1">
      <c r="A45" s="100">
        <v>3.0</v>
      </c>
      <c r="B45" s="101" t="s">
        <v>51</v>
      </c>
      <c r="C45" s="102" t="s">
        <v>19</v>
      </c>
      <c r="D45" s="102" t="s">
        <v>20</v>
      </c>
      <c r="E45" s="40"/>
      <c r="F45" s="40"/>
      <c r="G45" s="34"/>
      <c r="H45" s="92"/>
      <c r="I45" s="93"/>
      <c r="J45" s="92"/>
      <c r="K45" s="93"/>
      <c r="L45" s="34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4.25" customHeight="1">
      <c r="A46" s="80"/>
      <c r="B46" s="103" t="s">
        <v>52</v>
      </c>
      <c r="C46" s="104">
        <v>150000.0</v>
      </c>
      <c r="D46" s="105">
        <f t="shared" ref="D46:D49" si="16">C46*12</f>
        <v>1800000</v>
      </c>
      <c r="E46" s="40"/>
      <c r="F46" s="40"/>
      <c r="G46" s="34"/>
      <c r="H46" s="93"/>
      <c r="I46" s="93"/>
      <c r="J46" s="92"/>
      <c r="K46" s="93"/>
      <c r="L46" s="34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4.25" customHeight="1">
      <c r="A47" s="80"/>
      <c r="B47" s="103" t="s">
        <v>53</v>
      </c>
      <c r="C47" s="104">
        <v>40000.0</v>
      </c>
      <c r="D47" s="105">
        <f t="shared" si="16"/>
        <v>480000</v>
      </c>
      <c r="E47" s="40"/>
      <c r="F47" s="40"/>
      <c r="G47" s="34"/>
      <c r="H47" s="92"/>
      <c r="I47" s="93"/>
      <c r="J47" s="93"/>
      <c r="K47" s="93"/>
      <c r="L47" s="34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4.25" customHeight="1">
      <c r="A48" s="80"/>
      <c r="B48" s="106" t="s">
        <v>49</v>
      </c>
      <c r="C48" s="107">
        <f>C42</f>
        <v>90000</v>
      </c>
      <c r="D48" s="105">
        <f t="shared" si="16"/>
        <v>1080000</v>
      </c>
      <c r="E48" s="50"/>
      <c r="F48" s="40"/>
      <c r="G48" s="34"/>
      <c r="H48" s="108"/>
      <c r="I48" s="109"/>
      <c r="J48" s="92"/>
      <c r="K48" s="93"/>
      <c r="L48" s="34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4.25" customHeight="1">
      <c r="A49" s="80"/>
      <c r="B49" s="110" t="s">
        <v>54</v>
      </c>
      <c r="C49" s="111">
        <v>18500.0</v>
      </c>
      <c r="D49" s="112">
        <f t="shared" si="16"/>
        <v>222000</v>
      </c>
      <c r="E49" s="40"/>
      <c r="F49" s="40"/>
      <c r="G49" s="40"/>
      <c r="H49" s="34"/>
      <c r="I49" s="34"/>
      <c r="J49" s="108"/>
      <c r="K49" s="109"/>
      <c r="L49" s="34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4.25" customHeight="1">
      <c r="A50" s="80"/>
      <c r="B50" s="113"/>
      <c r="C50" s="105"/>
      <c r="D50" s="114">
        <f>SUM(D46:D49)</f>
        <v>3582000</v>
      </c>
      <c r="E50" s="40"/>
      <c r="F50" s="40"/>
      <c r="G50" s="40"/>
      <c r="H50" s="34"/>
      <c r="I50" s="34"/>
      <c r="J50" s="108"/>
      <c r="K50" s="109"/>
      <c r="L50" s="34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4.25" customHeight="1">
      <c r="A51" s="40"/>
      <c r="B51" s="9"/>
      <c r="C51" s="115"/>
      <c r="D51" s="66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4.25" customHeight="1">
      <c r="A52" s="40"/>
      <c r="B52" s="9"/>
      <c r="C52" s="115"/>
      <c r="D52" s="66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4.25" customHeight="1">
      <c r="A53" s="73">
        <v>4.0</v>
      </c>
      <c r="B53" s="74" t="s">
        <v>33</v>
      </c>
      <c r="C53" s="75" t="s">
        <v>19</v>
      </c>
      <c r="D53" s="75">
        <v>1.0</v>
      </c>
      <c r="E53" s="75">
        <v>2.0</v>
      </c>
      <c r="F53" s="75">
        <v>3.0</v>
      </c>
      <c r="G53" s="75">
        <v>4.0</v>
      </c>
      <c r="H53" s="75">
        <v>5.0</v>
      </c>
      <c r="I53" s="75">
        <v>6.0</v>
      </c>
      <c r="J53" s="75">
        <v>7.0</v>
      </c>
      <c r="K53" s="75">
        <v>8.0</v>
      </c>
      <c r="L53" s="75">
        <v>9.0</v>
      </c>
      <c r="M53" s="75">
        <v>10.0</v>
      </c>
      <c r="N53" s="75">
        <v>11.0</v>
      </c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4.25" customHeight="1">
      <c r="A54" s="80"/>
      <c r="B54" s="81" t="s">
        <v>55</v>
      </c>
      <c r="C54" s="105">
        <f>15000*9</f>
        <v>135000</v>
      </c>
      <c r="D54" s="105">
        <f t="shared" ref="D54:D55" si="17">C54*12</f>
        <v>1620000</v>
      </c>
      <c r="E54" s="105">
        <f>D54*(1+Assumptions!$C$27)</f>
        <v>1628100</v>
      </c>
      <c r="F54" s="105">
        <f>E54*(1+Assumptions!$C$27)</f>
        <v>1636240.5</v>
      </c>
      <c r="G54" s="105">
        <f>F54*(1+Assumptions!$C$27)</f>
        <v>1644421.703</v>
      </c>
      <c r="H54" s="105">
        <f>G54*(1+Assumptions!$C$27)</f>
        <v>1652643.811</v>
      </c>
      <c r="I54" s="105">
        <f>H54*(1+Assumptions!$C$27)</f>
        <v>1660907.03</v>
      </c>
      <c r="J54" s="105">
        <f>I54*(1+Assumptions!$C$27)</f>
        <v>1669211.565</v>
      </c>
      <c r="K54" s="105">
        <f>J54*(1+Assumptions!$C$27)</f>
        <v>1677557.623</v>
      </c>
      <c r="L54" s="105">
        <f>K54*(1+Assumptions!$C$27)</f>
        <v>1685945.411</v>
      </c>
      <c r="M54" s="105">
        <f>L54*(1+Assumptions!$C$27)</f>
        <v>1694375.138</v>
      </c>
      <c r="N54" s="105">
        <f>M54*(1+Assumptions!$C$27)</f>
        <v>1702847.014</v>
      </c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4.25" customHeight="1">
      <c r="A55" s="80"/>
      <c r="B55" s="81" t="s">
        <v>56</v>
      </c>
      <c r="C55" s="116">
        <v>40000.0</v>
      </c>
      <c r="D55" s="116">
        <f t="shared" si="17"/>
        <v>480000</v>
      </c>
      <c r="E55" s="116">
        <f>D55*(1+Assumptions!$C$28)</f>
        <v>552000</v>
      </c>
      <c r="F55" s="116">
        <f>E55*(1+Assumptions!$C$28)</f>
        <v>634800</v>
      </c>
      <c r="G55" s="116">
        <f>F55*(1+Assumptions!$C$28)</f>
        <v>730020</v>
      </c>
      <c r="H55" s="116">
        <f>G55*(1+Assumptions!$C$28)</f>
        <v>839523</v>
      </c>
      <c r="I55" s="116">
        <f>H55*(1+Assumptions!$C$28)</f>
        <v>965451.45</v>
      </c>
      <c r="J55" s="116">
        <f>I55*(1+Assumptions!$C$28)</f>
        <v>1110269.168</v>
      </c>
      <c r="K55" s="116">
        <f>J55*(1+Assumptions!$C$28)</f>
        <v>1276809.543</v>
      </c>
      <c r="L55" s="116">
        <f>K55*(1+Assumptions!$C$28)</f>
        <v>1468330.974</v>
      </c>
      <c r="M55" s="116">
        <f>L55*(1+Assumptions!$C$28)</f>
        <v>1688580.62</v>
      </c>
      <c r="N55" s="116">
        <f>M55*(1+Assumptions!$C$28)</f>
        <v>1941867.713</v>
      </c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4.25" customHeight="1">
      <c r="A56" s="80"/>
      <c r="B56" s="117" t="s">
        <v>57</v>
      </c>
      <c r="C56" s="105">
        <f>sum(C54:C55)</f>
        <v>175000</v>
      </c>
      <c r="D56" s="114">
        <f t="shared" ref="D56:N56" si="18">SUM(D54:D55)</f>
        <v>2100000</v>
      </c>
      <c r="E56" s="114">
        <f t="shared" si="18"/>
        <v>2180100</v>
      </c>
      <c r="F56" s="114">
        <f t="shared" si="18"/>
        <v>2271040.5</v>
      </c>
      <c r="G56" s="114">
        <f t="shared" si="18"/>
        <v>2374441.703</v>
      </c>
      <c r="H56" s="114">
        <f t="shared" si="18"/>
        <v>2492166.811</v>
      </c>
      <c r="I56" s="114">
        <f t="shared" si="18"/>
        <v>2626358.48</v>
      </c>
      <c r="J56" s="114">
        <f t="shared" si="18"/>
        <v>2779480.733</v>
      </c>
      <c r="K56" s="114">
        <f t="shared" si="18"/>
        <v>2954367.166</v>
      </c>
      <c r="L56" s="114">
        <f t="shared" si="18"/>
        <v>3154276.385</v>
      </c>
      <c r="M56" s="114">
        <f t="shared" si="18"/>
        <v>3382955.758</v>
      </c>
      <c r="N56" s="114">
        <f t="shared" si="18"/>
        <v>3644714.727</v>
      </c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4.25" customHeight="1">
      <c r="A57" s="50"/>
      <c r="B57" s="24"/>
      <c r="C57" s="118"/>
      <c r="D57" s="118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4.25" customHeight="1">
      <c r="A58" s="40"/>
      <c r="B58" s="24"/>
      <c r="C58" s="60"/>
      <c r="D58" s="6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4.25" customHeight="1">
      <c r="A59" s="76">
        <v>6.0</v>
      </c>
      <c r="B59" s="74" t="s">
        <v>58</v>
      </c>
      <c r="C59" s="75" t="s">
        <v>59</v>
      </c>
      <c r="D59" s="75" t="s">
        <v>60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4.25" customHeight="1">
      <c r="A60" s="80"/>
      <c r="B60" s="81" t="s">
        <v>61</v>
      </c>
      <c r="C60" s="119">
        <v>100000.0</v>
      </c>
      <c r="D60" s="105">
        <f t="shared" ref="D60:D65" si="19">C60*12</f>
        <v>1200000</v>
      </c>
      <c r="E60" s="5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4.25" customHeight="1">
      <c r="A61" s="80"/>
      <c r="B61" s="120" t="s">
        <v>62</v>
      </c>
      <c r="C61" s="119">
        <v>40000.0</v>
      </c>
      <c r="D61" s="105">
        <f t="shared" si="19"/>
        <v>480000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4.25" customHeight="1">
      <c r="A62" s="80"/>
      <c r="B62" s="120" t="s">
        <v>63</v>
      </c>
      <c r="C62" s="119">
        <v>10000.0</v>
      </c>
      <c r="D62" s="105">
        <f t="shared" si="19"/>
        <v>120000</v>
      </c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4.25" customHeight="1">
      <c r="A63" s="80"/>
      <c r="B63" s="120" t="s">
        <v>64</v>
      </c>
      <c r="C63" s="119">
        <v>50000.0</v>
      </c>
      <c r="D63" s="105">
        <f t="shared" si="19"/>
        <v>600000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4.25" customHeight="1">
      <c r="A64" s="80"/>
      <c r="B64" s="120" t="s">
        <v>65</v>
      </c>
      <c r="C64" s="119">
        <v>2500.0</v>
      </c>
      <c r="D64" s="105">
        <f t="shared" si="19"/>
        <v>30000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4.25" customHeight="1">
      <c r="A65" s="80"/>
      <c r="B65" s="120" t="s">
        <v>66</v>
      </c>
      <c r="C65" s="119">
        <v>10000.0</v>
      </c>
      <c r="D65" s="105">
        <f t="shared" si="19"/>
        <v>120000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4.25" customHeight="1">
      <c r="A66" s="80"/>
      <c r="B66" s="120"/>
      <c r="C66" s="85"/>
      <c r="D66" s="114">
        <f>SUM(D60:D65)</f>
        <v>2550000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4.2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4.2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4.25" customHeight="1">
      <c r="A69" s="73">
        <v>7.0</v>
      </c>
      <c r="B69" s="76" t="s">
        <v>67</v>
      </c>
      <c r="C69" s="75" t="s">
        <v>60</v>
      </c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4.25" customHeight="1">
      <c r="A70" s="80"/>
      <c r="B70" s="121" t="s">
        <v>68</v>
      </c>
      <c r="C70" s="122">
        <v>900000.0</v>
      </c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4.25" customHeight="1">
      <c r="A71" s="80"/>
      <c r="B71" s="121" t="s">
        <v>69</v>
      </c>
      <c r="C71" s="123">
        <v>600000.0</v>
      </c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4.25" customHeight="1">
      <c r="A72" s="80"/>
      <c r="B72" s="121" t="s">
        <v>70</v>
      </c>
      <c r="C72" s="122">
        <v>550000.0</v>
      </c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4.25" customHeight="1">
      <c r="A73" s="80"/>
      <c r="B73" s="121" t="s">
        <v>71</v>
      </c>
      <c r="C73" s="122">
        <v>250000.0</v>
      </c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4.25" customHeight="1">
      <c r="A74" s="80"/>
      <c r="B74" s="121" t="s">
        <v>72</v>
      </c>
      <c r="C74" s="123">
        <v>50000.0</v>
      </c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4.25" customHeight="1">
      <c r="A75" s="80"/>
      <c r="B75" s="121" t="s">
        <v>73</v>
      </c>
      <c r="C75" s="122">
        <v>200000.0</v>
      </c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4.25" customHeight="1">
      <c r="A76" s="80"/>
      <c r="B76" s="121" t="s">
        <v>74</v>
      </c>
      <c r="C76" s="122">
        <v>100000.0</v>
      </c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4.25" customHeight="1">
      <c r="A77" s="80"/>
      <c r="B77" s="124" t="s">
        <v>75</v>
      </c>
      <c r="C77" s="125">
        <f>SUM(C70:C76)</f>
        <v>2650000</v>
      </c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4.25" customHeight="1">
      <c r="A78" s="80"/>
      <c r="B78" s="110" t="s">
        <v>76</v>
      </c>
      <c r="C78" s="126">
        <v>10.0</v>
      </c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4.25" customHeight="1">
      <c r="A79" s="80"/>
      <c r="B79" s="124" t="s">
        <v>77</v>
      </c>
      <c r="C79" s="125">
        <f>C77/C78</f>
        <v>265000</v>
      </c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4.2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4.2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4.25" customHeight="1">
      <c r="A82" s="110">
        <v>8.0</v>
      </c>
      <c r="B82" s="90" t="s">
        <v>78</v>
      </c>
      <c r="C82" s="75" t="s">
        <v>60</v>
      </c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4.25" customHeight="1">
      <c r="A83" s="110"/>
      <c r="B83" s="121" t="s">
        <v>79</v>
      </c>
      <c r="C83" s="123">
        <v>200000.0</v>
      </c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4.25" customHeight="1">
      <c r="A84" s="124"/>
      <c r="B84" s="121" t="s">
        <v>80</v>
      </c>
      <c r="C84" s="122">
        <v>20000.0</v>
      </c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4.25" customHeight="1">
      <c r="A85" s="110"/>
      <c r="B85" s="124" t="s">
        <v>75</v>
      </c>
      <c r="C85" s="125">
        <f>SUM(C83,C84)</f>
        <v>220000</v>
      </c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4.25" customHeight="1">
      <c r="A86" s="36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4.25" customHeight="1">
      <c r="A87" s="127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4.25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 ht="14.25" customHeight="1">
      <c r="A89" s="128"/>
      <c r="B89" s="128"/>
      <c r="C89" s="128"/>
      <c r="D89" s="128"/>
      <c r="E89" s="128"/>
      <c r="F89" s="128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28"/>
      <c r="B90" s="128"/>
      <c r="C90" s="128"/>
      <c r="D90" s="128"/>
      <c r="E90" s="128"/>
      <c r="F90" s="128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28"/>
      <c r="B91" s="129"/>
      <c r="C91" s="130"/>
      <c r="D91" s="130"/>
      <c r="E91" s="130"/>
      <c r="F91" s="128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4.25" customHeight="1">
      <c r="A92" s="97"/>
      <c r="B92" s="129"/>
      <c r="C92" s="129"/>
      <c r="D92" s="129"/>
      <c r="E92" s="129"/>
      <c r="F92" s="128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4.25" customHeight="1">
      <c r="A93" s="128"/>
      <c r="B93" s="97"/>
      <c r="C93" s="97"/>
      <c r="D93" s="131"/>
      <c r="E93" s="132"/>
      <c r="F93" s="128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4.25" customHeight="1">
      <c r="A94" s="128"/>
      <c r="B94" s="97"/>
      <c r="C94" s="128"/>
      <c r="D94" s="133"/>
      <c r="E94" s="132"/>
      <c r="F94" s="128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4.25" customHeight="1">
      <c r="A95" s="128"/>
      <c r="B95" s="97"/>
      <c r="C95" s="128"/>
      <c r="D95" s="133"/>
      <c r="E95" s="134"/>
      <c r="F95" s="128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4.25" customHeight="1">
      <c r="A96" s="128"/>
      <c r="B96" s="128"/>
      <c r="C96" s="128"/>
      <c r="D96" s="128"/>
      <c r="E96" s="128"/>
      <c r="F96" s="128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4.25" customHeight="1">
      <c r="A97" s="128"/>
      <c r="B97" s="128"/>
      <c r="C97" s="128"/>
      <c r="D97" s="128"/>
      <c r="E97" s="128"/>
      <c r="F97" s="128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4.25" customHeight="1">
      <c r="A98" s="128"/>
      <c r="B98" s="128"/>
      <c r="C98" s="128"/>
      <c r="D98" s="128"/>
      <c r="E98" s="128"/>
      <c r="F98" s="128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4.25" customHeight="1">
      <c r="A99" s="97"/>
      <c r="B99" s="129"/>
      <c r="C99" s="129"/>
      <c r="D99" s="129"/>
      <c r="E99" s="128"/>
      <c r="F99" s="128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4.25" customHeight="1">
      <c r="A100" s="128"/>
      <c r="B100" s="97"/>
      <c r="C100" s="135"/>
      <c r="D100" s="128"/>
      <c r="E100" s="128"/>
      <c r="F100" s="128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4.25" customHeight="1">
      <c r="A101" s="128"/>
      <c r="B101" s="97"/>
      <c r="C101" s="136"/>
      <c r="D101" s="128"/>
      <c r="E101" s="128"/>
      <c r="F101" s="128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4.25" customHeight="1">
      <c r="A102" s="128"/>
      <c r="B102" s="97"/>
      <c r="C102" s="136"/>
      <c r="D102" s="128"/>
      <c r="E102" s="128"/>
      <c r="F102" s="128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4.25" customHeight="1">
      <c r="A103" s="128"/>
      <c r="B103" s="128"/>
      <c r="C103" s="128"/>
      <c r="D103" s="129"/>
      <c r="E103" s="128"/>
      <c r="F103" s="128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4.25" customHeight="1">
      <c r="A104" s="128"/>
      <c r="B104" s="97"/>
      <c r="C104" s="137"/>
      <c r="D104" s="97"/>
      <c r="E104" s="128"/>
      <c r="F104" s="128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4.25" customHeight="1">
      <c r="A105" s="128"/>
      <c r="B105" s="97"/>
      <c r="C105" s="137"/>
      <c r="D105" s="97"/>
      <c r="E105" s="128"/>
      <c r="F105" s="128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4.25" customHeight="1">
      <c r="A106" s="128"/>
      <c r="B106" s="97"/>
      <c r="C106" s="137"/>
      <c r="D106" s="97"/>
      <c r="E106" s="128"/>
      <c r="F106" s="128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4.25" customHeight="1">
      <c r="A107" s="128"/>
      <c r="B107" s="97"/>
      <c r="C107" s="137"/>
      <c r="D107" s="97"/>
      <c r="E107" s="128"/>
      <c r="F107" s="128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4.25" customHeight="1">
      <c r="A108" s="97"/>
      <c r="B108" s="129"/>
      <c r="C108" s="129"/>
      <c r="D108" s="129"/>
      <c r="E108" s="128"/>
      <c r="F108" s="128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4.25" customHeight="1">
      <c r="A109" s="128"/>
      <c r="B109" s="97"/>
      <c r="C109" s="128"/>
      <c r="D109" s="138"/>
      <c r="E109" s="128"/>
      <c r="F109" s="128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4.25" customHeight="1">
      <c r="A110" s="128"/>
      <c r="B110" s="139"/>
      <c r="C110" s="97"/>
      <c r="D110" s="138"/>
      <c r="E110" s="128"/>
      <c r="F110" s="128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4.25" customHeight="1">
      <c r="A111" s="128"/>
      <c r="B111" s="98"/>
      <c r="C111" s="128"/>
      <c r="D111" s="130"/>
      <c r="E111" s="128"/>
      <c r="F111" s="128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4.25" customHeight="1">
      <c r="A112" s="97"/>
      <c r="B112" s="128"/>
      <c r="C112" s="128"/>
      <c r="D112" s="128"/>
      <c r="E112" s="128"/>
      <c r="F112" s="128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4.25" customHeight="1">
      <c r="A113" s="97"/>
      <c r="B113" s="128"/>
      <c r="C113" s="128"/>
      <c r="D113" s="128"/>
      <c r="E113" s="128"/>
      <c r="F113" s="128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4.25" customHeight="1">
      <c r="A114" s="97"/>
      <c r="B114" s="128"/>
      <c r="C114" s="128"/>
      <c r="D114" s="128"/>
      <c r="E114" s="128"/>
      <c r="F114" s="128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4.25" customHeight="1">
      <c r="A115" s="97"/>
      <c r="B115" s="98"/>
      <c r="C115" s="140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 ht="14.25" customHeight="1">
      <c r="A116" s="97"/>
      <c r="B116" s="98"/>
      <c r="C116" s="141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 ht="14.25" customHeight="1">
      <c r="A117" s="97"/>
      <c r="B117" s="98"/>
      <c r="C117" s="142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 ht="14.25" customHeight="1">
      <c r="A118" s="97"/>
      <c r="B118" s="98"/>
      <c r="C118" s="142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 ht="14.25" customHeight="1">
      <c r="A119" s="97"/>
      <c r="B119" s="98"/>
      <c r="C119" s="142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 ht="14.25" customHeight="1">
      <c r="A120" s="97"/>
      <c r="B120" s="98"/>
      <c r="C120" s="142"/>
      <c r="D120" s="128"/>
      <c r="E120" s="128"/>
      <c r="F120" s="128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4.25" customHeight="1">
      <c r="A121" s="128"/>
      <c r="B121" s="139"/>
      <c r="C121" s="143"/>
      <c r="D121" s="128"/>
      <c r="E121" s="128"/>
      <c r="F121" s="128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4.25" customHeight="1">
      <c r="A122" s="128"/>
      <c r="B122" s="97"/>
      <c r="C122" s="143"/>
      <c r="D122" s="128"/>
      <c r="E122" s="128"/>
      <c r="F122" s="128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4.25" customHeight="1">
      <c r="A123" s="128"/>
      <c r="B123" s="97"/>
      <c r="C123" s="143"/>
      <c r="D123" s="128"/>
      <c r="E123" s="128"/>
      <c r="F123" s="128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4.25" customHeight="1">
      <c r="A124" s="128"/>
      <c r="B124" s="144"/>
      <c r="C124" s="143"/>
      <c r="D124" s="128"/>
      <c r="E124" s="128"/>
      <c r="F124" s="128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4.25" customHeight="1">
      <c r="A125" s="128"/>
      <c r="B125" s="129"/>
      <c r="C125" s="145"/>
      <c r="D125" s="128"/>
      <c r="E125" s="128"/>
      <c r="F125" s="128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4.25" customHeight="1">
      <c r="A126" s="128"/>
      <c r="B126" s="128"/>
      <c r="C126" s="128"/>
      <c r="D126" s="128"/>
      <c r="E126" s="128"/>
      <c r="F126" s="128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4.25" customHeight="1">
      <c r="A127" s="128"/>
      <c r="B127" s="128"/>
      <c r="C127" s="128"/>
      <c r="D127" s="128"/>
      <c r="E127" s="128"/>
      <c r="F127" s="128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4.25" customHeight="1">
      <c r="A128" s="128"/>
      <c r="B128" s="128"/>
      <c r="C128" s="128"/>
      <c r="D128" s="128"/>
      <c r="E128" s="128"/>
      <c r="F128" s="128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4.25" customHeight="1">
      <c r="A129" s="97"/>
      <c r="B129" s="97"/>
      <c r="C129" s="128"/>
      <c r="D129" s="128"/>
      <c r="E129" s="128"/>
      <c r="F129" s="128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4.25" customHeight="1">
      <c r="A130" s="128"/>
      <c r="B130" s="139"/>
      <c r="C130" s="146"/>
      <c r="D130" s="128"/>
      <c r="E130" s="128"/>
      <c r="F130" s="128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4.25" customHeight="1">
      <c r="A131" s="128"/>
      <c r="B131" s="147"/>
      <c r="C131" s="133"/>
      <c r="D131" s="128"/>
      <c r="E131" s="128"/>
      <c r="F131" s="128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4.25" customHeight="1">
      <c r="A132" s="128"/>
      <c r="B132" s="147"/>
      <c r="C132" s="133"/>
      <c r="D132" s="128"/>
      <c r="E132" s="128"/>
      <c r="F132" s="128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4.25" customHeight="1">
      <c r="A133" s="128"/>
      <c r="B133" s="147"/>
      <c r="C133" s="133"/>
      <c r="D133" s="128"/>
      <c r="E133" s="128"/>
      <c r="F133" s="128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4.25" customHeight="1">
      <c r="A134" s="128"/>
      <c r="B134" s="147"/>
      <c r="C134" s="133"/>
      <c r="D134" s="128"/>
      <c r="E134" s="128"/>
      <c r="F134" s="128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4.25" customHeight="1">
      <c r="A135" s="128"/>
      <c r="B135" s="147"/>
      <c r="C135" s="133"/>
      <c r="D135" s="128"/>
      <c r="E135" s="128"/>
      <c r="F135" s="128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4.25" customHeight="1">
      <c r="A136" s="128"/>
      <c r="B136" s="128"/>
      <c r="C136" s="148"/>
      <c r="D136" s="130"/>
      <c r="E136" s="128"/>
      <c r="F136" s="128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4.25" customHeight="1">
      <c r="A137" s="128"/>
      <c r="B137" s="128"/>
      <c r="C137" s="148"/>
      <c r="D137" s="128"/>
      <c r="E137" s="128"/>
      <c r="F137" s="128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4.25" customHeight="1">
      <c r="A138" s="128"/>
      <c r="B138" s="132"/>
      <c r="C138" s="133"/>
      <c r="D138" s="128"/>
      <c r="E138" s="128"/>
      <c r="F138" s="128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4.25" customHeight="1">
      <c r="A139" s="128"/>
      <c r="B139" s="128"/>
      <c r="C139" s="128"/>
      <c r="D139" s="128"/>
      <c r="E139" s="128"/>
      <c r="F139" s="128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4.2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4.2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4.2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4.2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4.2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4.2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4.2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4.2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4.2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4.2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4.2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4.2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4.2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4.2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4.2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4.2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4.2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4.2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4.2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4.2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4.2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4.2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4.2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4.2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4.2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4.2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4.2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4.2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4.2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4.2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4.2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4.2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4.2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4.2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4.2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4.2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4.2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4.2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4.2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4.2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4.2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4.2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4.2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4.2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4.2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4.2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4.2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4.2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4.2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4.2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4.2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4.2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4.2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4.2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4.2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4.2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4.2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4.2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4.2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4.2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4.2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4.2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4.2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4.2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4.2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4.2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4.2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4.2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4.2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4.2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4.2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4.2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4.2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4.2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4.2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4.2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4.2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4.2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4.2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4.2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4.2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4.2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4.2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4.2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4.2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4.2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4.2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4.2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4.2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4.2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4.2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4.2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4.2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4.2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4.2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4.2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4.2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4.2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4.2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4.2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4.2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4.2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4.2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4.2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4.2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4.2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4.2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4.2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4.2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4.2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4.2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4.2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4.2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4.2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4.2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4.2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4.2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4.2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4.2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4.2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4.2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4.2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4.2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4.2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4.2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4.2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4.2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4.2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4.2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4.2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4.2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4.2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4.2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4.2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4.2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4.2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4.2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4.2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4.2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4.2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4.2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4.2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4.2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4.2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4.2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4.2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4.2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4.2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4.2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4.2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4.2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4.2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4.2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4.2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4.2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4.2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4.2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4.2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4.2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4.2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4.2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4.2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4.2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4.2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4.2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4.2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4.2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4.2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4.2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4.2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4.2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4.2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4.2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4.2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4.2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4.2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4.2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4.2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4.2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4.2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4.2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4.2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4.2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4.2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4.2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4.2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4.2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4.2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4.2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4.2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4.2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4.2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4.2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4.2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4.2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4.2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4.2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4.2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4.2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4.2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4.2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4.2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4.2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4.2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4.2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4.2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4.2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4.2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4.2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4.2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4.2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4.2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4.2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4.2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4.2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4.2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4.2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4.2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4.2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4.2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4.2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4.2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4.2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4.2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4.2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4.2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4.2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4.2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4.2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4.2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4.2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4.2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4.2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4.2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4.2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4.2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4.2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4.2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4.2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4.2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4.2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4.2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4.2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4.2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4.2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4.2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4.2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4.2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4.2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4.2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4.2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4.2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4.2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4.2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4.2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4.2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4.2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4.2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4.2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4.2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4.2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4.2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4.2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4.2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4.2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4.2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4.2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4.2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4.2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4.2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4.2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4.2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4.2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4.2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4.2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4.2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4.2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4.2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4.2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4.2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4.2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4.2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4.2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4.2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4.2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4.2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4.2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4.2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4.2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4.2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4.2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4.2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4.2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4.2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4.2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4.2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4.2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4.2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4.2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4.2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4.2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4.2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4.2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4.2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4.2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4.2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4.2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4.2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4.2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4.2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4.2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4.2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4.2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4.2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4.2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4.2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4.2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4.2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4.2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4.2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4.2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4.2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4.2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4.2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4.2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4.2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4.2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4.2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4.2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4.2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4.2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4.2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4.2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4.2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4.2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4.2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4.2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4.2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4.2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4.2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4.2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4.2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4.2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4.2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4.2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4.2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4.2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4.2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4.2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4.2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4.2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4.2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4.2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4.2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4.2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4.2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4.2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4.2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4.2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4.2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4.2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4.2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4.2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4.2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4.2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4.2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4.2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4.2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4.2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4.2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4.2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4.2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4.2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4.2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4.2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4.2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4.2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4.2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4.2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4.2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4.2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4.2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4.2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4.2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4.2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4.2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4.2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4.2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4.2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4.2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4.2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4.2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4.2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4.2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4.2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4.2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4.2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4.2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4.2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4.2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4.2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4.2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4.2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4.2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4.2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4.2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4.2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4.2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4.2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4.2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4.2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4.2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4.2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4.2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4.2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4.2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4.2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4.2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4.2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4.2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4.2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4.2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4.2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4.2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4.2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4.2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4.2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4.2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4.2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4.2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4.2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4.2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4.2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4.2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4.2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4.2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4.2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4.2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4.2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4.2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4.2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4.2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4.2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4.2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4.2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4.2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4.2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4.2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4.2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4.2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4.2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4.2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4.2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4.2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4.2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4.2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4.2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4.2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4.2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4.2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4.2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4.2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4.2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4.2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4.2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4.2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4.2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4.2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4.2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4.2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4.2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4.2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4.2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4.2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4.2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4.2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4.2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4.2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4.2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4.2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4.2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4.2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4.2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4.2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4.2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4.2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4.2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4.2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4.2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4.2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4.2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4.2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4.2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4.2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4.2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4.2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4.2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4.2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4.2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4.2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4.2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4.2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4.2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4.2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4.2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4.2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4.2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4.2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4.2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4.2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4.2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4.2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4.2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4.2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4.2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4.2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4.2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4.2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4.2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4.2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4.2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4.2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4.2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4.2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4.2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4.2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4.2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4.2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4.2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4.2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4.2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4.2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4.2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4.2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4.2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4.2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4.2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4.2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4.2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4.2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4.2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4.2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4.2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4.2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4.2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4.2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4.2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4.2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4.2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4.2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4.2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4.2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4.2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4.2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4.2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4.2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4.2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4.2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4.2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4.2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4.2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4.2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4.2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4.2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4.2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4.2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4.2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4.2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4.2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4.2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4.2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4.2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4.2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4.2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4.2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4.2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4.2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4.2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4.2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4.2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4.2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4.2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4.2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4.2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4.2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4.2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4.2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4.2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4.2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4.2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4.2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4.2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4.2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4.2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4.2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4.2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4.2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4.2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4.2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4.2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4.2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4.2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4.2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4.2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4.2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4.2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4.2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4.2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4.2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4.2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4.2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4.2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4.2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4.2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4.2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4.2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4.2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4.2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4.2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4.2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4.2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4.2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4.2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4.2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4.2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4.2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4.2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4.2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4.2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4.2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4.2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4.2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4.2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4.2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4.2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4.2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4.2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4.2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4.2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4.2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4.2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4.2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4.2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4.2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4.2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4.2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4.2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4.2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4.2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4.2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4.2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4.2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4.2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4.2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4.2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4.2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4.2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4.2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4.2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4.2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4.2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4.2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4.2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4.2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4.2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4.2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4.2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4.2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4.2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4.2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4.2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4.2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4.2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4.2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4.2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4.2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4.2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4.2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4.2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4.2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4.2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4.2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4.2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4.2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4.2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4.2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4.2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4.2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4.2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4.2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4.2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4.2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4.2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4.2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4.2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4.2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4.2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4.2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4.2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4.2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4.2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4.2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4.2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4.2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4.2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4.2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4.2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4.2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4.2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4.2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4.2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4.2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4.2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4.2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4.2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4.2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4.2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4.2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4.2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4.2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4.2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4.2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4.2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4.2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4.2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4.2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4.2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4.2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4.2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4.2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4.2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4.2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4.2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4.2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4.2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4.2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4.2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4.2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4.2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4.2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4.2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4.2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4.2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4.2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4.2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4.2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4.2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4.2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4.2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4.2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4.2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4.2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4.2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4.2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4.2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4.2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4.2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4.2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4.2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4.2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4.2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4.2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4.2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4.2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4.2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4.2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4.2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4.2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4.2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4.2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4.2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4.2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4.2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4.2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4.2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4.2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4.2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4.2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4.2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4.2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4.2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4.2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4.2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4.2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4.2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4.2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4.2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4.2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4.2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4.2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4.2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4.2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4.2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4.2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4.2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4.2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4.2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4.2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4.2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4.2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4.2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4.2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4.2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4.2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4.2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4.2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4.2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4.2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4.2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4.2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4.2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4.2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4.2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4.2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4.2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4.2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4.2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4.2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4.2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4.2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4.2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4.2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4.2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4.2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4.2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4.2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4.2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4.2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4.2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4.2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4.2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4.2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4.2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4.2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4.2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4.2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4.2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4.2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4.2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4.2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4.2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4.2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4.2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4.2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4.2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4.2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4.2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4.2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4.2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4.2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4.2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4.2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4.2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4.2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4.2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4.2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4.2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4.2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4.2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4.2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4.2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ht="14.2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ht="14.25" customHeight="1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ht="14.25" customHeight="1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ht="14.25" customHeight="1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ht="14.25" customHeight="1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 ht="14.25" customHeight="1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 ht="14.25" customHeight="1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 ht="14.25" customHeight="1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 ht="14.25" customHeight="1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 ht="14.25" customHeight="1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 ht="14.25" customHeight="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</row>
    <row r="1012" ht="14.25" customHeight="1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</row>
    <row r="1013" ht="14.25" customHeight="1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</row>
    <row r="1014" ht="14.25" customHeight="1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</row>
  </sheetData>
  <mergeCells count="2">
    <mergeCell ref="B2:L2"/>
    <mergeCell ref="C36:D3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0.38"/>
  </cols>
  <sheetData>
    <row r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1"/>
    </row>
    <row r="2">
      <c r="A2" s="36"/>
      <c r="B2" s="149" t="str">
        <f>"Free Cash Flows" &amp; Assumptions!B4</f>
        <v>Free Cash Flows Alpino Protein Café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1"/>
    </row>
    <row r="3">
      <c r="A3" s="36"/>
      <c r="B3" s="150" t="s">
        <v>25</v>
      </c>
      <c r="C3" s="151">
        <v>0.0</v>
      </c>
      <c r="D3" s="151">
        <v>1.0</v>
      </c>
      <c r="E3" s="151">
        <v>2.0</v>
      </c>
      <c r="F3" s="151">
        <v>3.0</v>
      </c>
      <c r="G3" s="151">
        <v>4.0</v>
      </c>
      <c r="H3" s="151">
        <v>5.0</v>
      </c>
      <c r="I3" s="151">
        <v>6.0</v>
      </c>
      <c r="J3" s="151">
        <v>7.0</v>
      </c>
      <c r="K3" s="151">
        <v>8.0</v>
      </c>
      <c r="L3" s="151">
        <v>9.0</v>
      </c>
      <c r="M3" s="151">
        <v>10.0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1"/>
    </row>
    <row r="4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1"/>
    </row>
    <row r="5">
      <c r="A5" s="36"/>
      <c r="B5" s="36" t="s">
        <v>36</v>
      </c>
      <c r="C5" s="36"/>
      <c r="D5" s="152">
        <f>'P&amp;L'!D16</f>
        <v>863000</v>
      </c>
      <c r="E5" s="152">
        <f>'P&amp;L'!E16</f>
        <v>404660</v>
      </c>
      <c r="F5" s="152">
        <f>'P&amp;L'!F16</f>
        <v>-88447.3</v>
      </c>
      <c r="G5" s="152">
        <f>'P&amp;L'!G16</f>
        <v>-151489.4785</v>
      </c>
      <c r="H5" s="152">
        <f>'P&amp;L'!H16</f>
        <v>258820.9437</v>
      </c>
      <c r="I5" s="152">
        <f>'P&amp;L'!I16</f>
        <v>722063.2362</v>
      </c>
      <c r="J5" s="152">
        <f>'P&amp;L'!J16</f>
        <v>1243727.263</v>
      </c>
      <c r="K5" s="152">
        <f>'P&amp;L'!K16</f>
        <v>1829792.308</v>
      </c>
      <c r="L5" s="152">
        <f>'P&amp;L'!L16</f>
        <v>2486761.617</v>
      </c>
      <c r="M5" s="152">
        <f>'P&amp;L'!M16</f>
        <v>3221697.9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1"/>
    </row>
    <row r="6">
      <c r="A6" s="36"/>
      <c r="B6" s="36" t="s">
        <v>81</v>
      </c>
      <c r="C6" s="153"/>
      <c r="D6" s="152">
        <f>'P&amp;L'!D15</f>
        <v>265000</v>
      </c>
      <c r="E6" s="152">
        <f>'P&amp;L'!E15</f>
        <v>265000</v>
      </c>
      <c r="F6" s="152">
        <f>'P&amp;L'!F15</f>
        <v>265000</v>
      </c>
      <c r="G6" s="152">
        <f>'P&amp;L'!G15</f>
        <v>265000</v>
      </c>
      <c r="H6" s="152">
        <f>'P&amp;L'!H15</f>
        <v>265000</v>
      </c>
      <c r="I6" s="152">
        <f>'P&amp;L'!I15</f>
        <v>265000</v>
      </c>
      <c r="J6" s="152">
        <f>'P&amp;L'!J15</f>
        <v>265000</v>
      </c>
      <c r="K6" s="152">
        <f>'P&amp;L'!K15</f>
        <v>265000</v>
      </c>
      <c r="L6" s="152">
        <f>'P&amp;L'!L15</f>
        <v>265000</v>
      </c>
      <c r="M6" s="152">
        <f>'P&amp;L'!M15</f>
        <v>265000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1"/>
    </row>
    <row r="7">
      <c r="A7" s="154"/>
      <c r="B7" s="36" t="s">
        <v>82</v>
      </c>
      <c r="C7" s="152">
        <f>-'P&amp;L'!D19</f>
        <v>-220000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1"/>
    </row>
    <row r="8">
      <c r="A8" s="36"/>
      <c r="B8" s="36" t="s">
        <v>83</v>
      </c>
      <c r="C8" s="152">
        <f>-'P&amp;L'!C77</f>
        <v>-2650000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1"/>
    </row>
    <row r="9">
      <c r="A9" s="36"/>
      <c r="B9" s="36" t="s">
        <v>84</v>
      </c>
      <c r="C9" s="152">
        <f t="shared" ref="C9:M9" si="1">-C26</f>
        <v>-198493.1507</v>
      </c>
      <c r="D9" s="152">
        <f t="shared" si="1"/>
        <v>-10304.38356</v>
      </c>
      <c r="E9" s="152">
        <f t="shared" si="1"/>
        <v>-11025.69041</v>
      </c>
      <c r="F9" s="152">
        <f t="shared" si="1"/>
        <v>-14361.8723</v>
      </c>
      <c r="G9" s="152">
        <f t="shared" si="1"/>
        <v>-18008.51843</v>
      </c>
      <c r="H9" s="152">
        <f t="shared" si="1"/>
        <v>-19430.67089</v>
      </c>
      <c r="I9" s="152">
        <f t="shared" si="1"/>
        <v>-20968.52963</v>
      </c>
      <c r="J9" s="152">
        <f t="shared" si="1"/>
        <v>-22631.80966</v>
      </c>
      <c r="K9" s="152">
        <f t="shared" si="1"/>
        <v>-24431.06759</v>
      </c>
      <c r="L9" s="152">
        <f t="shared" si="1"/>
        <v>-26377.7767</v>
      </c>
      <c r="M9" s="152">
        <f t="shared" si="1"/>
        <v>-28484.40889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1"/>
    </row>
    <row r="10">
      <c r="A10" s="36"/>
      <c r="B10" s="36" t="s">
        <v>85</v>
      </c>
      <c r="C10" s="152">
        <f>SUM(C7:C9)</f>
        <v>-3068493.151</v>
      </c>
      <c r="D10" s="152">
        <f t="shared" ref="D10:M10" si="2">SUM(D5:D9)</f>
        <v>1117695.616</v>
      </c>
      <c r="E10" s="152">
        <f t="shared" si="2"/>
        <v>658634.3096</v>
      </c>
      <c r="F10" s="152">
        <f t="shared" si="2"/>
        <v>162190.8277</v>
      </c>
      <c r="G10" s="152">
        <f t="shared" si="2"/>
        <v>95502.00307</v>
      </c>
      <c r="H10" s="152">
        <f t="shared" si="2"/>
        <v>504390.2728</v>
      </c>
      <c r="I10" s="152">
        <f t="shared" si="2"/>
        <v>966094.7066</v>
      </c>
      <c r="J10" s="152">
        <f t="shared" si="2"/>
        <v>1486095.454</v>
      </c>
      <c r="K10" s="152">
        <f t="shared" si="2"/>
        <v>2070361.24</v>
      </c>
      <c r="L10" s="152">
        <f t="shared" si="2"/>
        <v>2725383.84</v>
      </c>
      <c r="M10" s="152">
        <f t="shared" si="2"/>
        <v>3458213.491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1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1"/>
    </row>
    <row r="12">
      <c r="A12" s="36"/>
      <c r="B12" s="155" t="s">
        <v>86</v>
      </c>
      <c r="C12" s="156">
        <f>C10</f>
        <v>-3068493.151</v>
      </c>
      <c r="D12" s="156">
        <f t="shared" ref="D12:M12" si="3">D10+C12</f>
        <v>-1950797.534</v>
      </c>
      <c r="E12" s="156">
        <f t="shared" si="3"/>
        <v>-1292163.225</v>
      </c>
      <c r="F12" s="156">
        <f t="shared" si="3"/>
        <v>-1129972.397</v>
      </c>
      <c r="G12" s="156">
        <f t="shared" si="3"/>
        <v>-1034470.394</v>
      </c>
      <c r="H12" s="156">
        <f t="shared" si="3"/>
        <v>-530080.1211</v>
      </c>
      <c r="I12" s="156">
        <f t="shared" si="3"/>
        <v>436014.5855</v>
      </c>
      <c r="J12" s="156">
        <f t="shared" si="3"/>
        <v>1922110.039</v>
      </c>
      <c r="K12" s="156">
        <f t="shared" si="3"/>
        <v>3992471.279</v>
      </c>
      <c r="L12" s="156">
        <f t="shared" si="3"/>
        <v>6717855.12</v>
      </c>
      <c r="M12" s="156">
        <f t="shared" si="3"/>
        <v>10176068.61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1"/>
    </row>
    <row r="13">
      <c r="A13" s="36"/>
      <c r="B13" s="157" t="s">
        <v>87</v>
      </c>
      <c r="C13" s="158">
        <f>5+(-1*H12)/((-1*H12)+I12)</f>
        <v>5.548683393</v>
      </c>
      <c r="D13" s="157" t="s">
        <v>88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1"/>
    </row>
    <row r="14">
      <c r="A14" s="36"/>
      <c r="B14" s="1"/>
      <c r="C14" s="1"/>
      <c r="D14" s="1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1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1"/>
    </row>
    <row r="16">
      <c r="A16" s="36"/>
      <c r="B16" s="159" t="s">
        <v>89</v>
      </c>
      <c r="C16" s="160">
        <f>IRR(C10:M10)</f>
        <v>0.2646724104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1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1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1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1"/>
    </row>
    <row r="20">
      <c r="A20" s="36"/>
      <c r="B20" s="127" t="s">
        <v>90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1"/>
    </row>
    <row r="21">
      <c r="A21" s="36"/>
      <c r="B21" s="36"/>
      <c r="C21" s="161">
        <v>0.0</v>
      </c>
      <c r="D21" s="161">
        <v>1.0</v>
      </c>
      <c r="E21" s="161">
        <v>2.0</v>
      </c>
      <c r="F21" s="161">
        <v>3.0</v>
      </c>
      <c r="G21" s="161">
        <v>4.0</v>
      </c>
      <c r="H21" s="161">
        <v>5.0</v>
      </c>
      <c r="I21" s="161">
        <v>6.0</v>
      </c>
      <c r="J21" s="161">
        <v>7.0</v>
      </c>
      <c r="K21" s="161">
        <v>8.0</v>
      </c>
      <c r="L21" s="161">
        <v>9.0</v>
      </c>
      <c r="M21" s="161">
        <v>10.0</v>
      </c>
      <c r="N21" s="161">
        <v>11.0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1"/>
    </row>
    <row r="22">
      <c r="A22" s="36"/>
      <c r="B22" s="36" t="s">
        <v>91</v>
      </c>
      <c r="C22" s="36"/>
      <c r="D22" s="152">
        <f>'P&amp;L'!D7*30/365</f>
        <v>294410.9589</v>
      </c>
      <c r="E22" s="152">
        <f>'P&amp;L'!E7*30/365</f>
        <v>315019.726</v>
      </c>
      <c r="F22" s="152">
        <f>'P&amp;L'!F7*30/365</f>
        <v>337071.1068</v>
      </c>
      <c r="G22" s="152">
        <f>'P&amp;L'!G7*30/365</f>
        <v>360666.0843</v>
      </c>
      <c r="H22" s="152">
        <f>'P&amp;L'!H7*30/365</f>
        <v>385912.7102</v>
      </c>
      <c r="I22" s="152">
        <f>'P&amp;L'!I7*30/365</f>
        <v>412926.5999</v>
      </c>
      <c r="J22" s="152">
        <f>'P&amp;L'!J7*30/365</f>
        <v>441831.4619</v>
      </c>
      <c r="K22" s="152">
        <f>'P&amp;L'!K7*30/365</f>
        <v>472759.6643</v>
      </c>
      <c r="L22" s="152">
        <f>'P&amp;L'!L7*30/365</f>
        <v>505852.8408</v>
      </c>
      <c r="M22" s="152">
        <f>'P&amp;L'!M7*30/365</f>
        <v>541262.5396</v>
      </c>
      <c r="N22" s="152">
        <f>'P&amp;L'!N7*30/365</f>
        <v>579150.9174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1"/>
    </row>
    <row r="23">
      <c r="A23" s="36"/>
      <c r="B23" s="36" t="s">
        <v>92</v>
      </c>
      <c r="C23" s="36"/>
      <c r="D23" s="152">
        <f>'P&amp;L'!D5*2/365</f>
        <v>51287.67123</v>
      </c>
      <c r="E23" s="152">
        <f>'P&amp;L'!E5*2/365</f>
        <v>51287.67123</v>
      </c>
      <c r="F23" s="152">
        <f>'P&amp;L'!F5*2/365</f>
        <v>51287.67123</v>
      </c>
      <c r="G23" s="152">
        <f>'P&amp;L'!G5*2/365</f>
        <v>53852.05479</v>
      </c>
      <c r="H23" s="152">
        <f>'P&amp;L'!H5*2/365</f>
        <v>59237.26027</v>
      </c>
      <c r="I23" s="152">
        <f>'P&amp;L'!I5*2/365</f>
        <v>65160.9863</v>
      </c>
      <c r="J23" s="152">
        <f>'P&amp;L'!J5*2/365</f>
        <v>71677.08493</v>
      </c>
      <c r="K23" s="152">
        <f>'P&amp;L'!K5*2/365</f>
        <v>78844.79342</v>
      </c>
      <c r="L23" s="152">
        <f>'P&amp;L'!L5*2/365</f>
        <v>86729.27277</v>
      </c>
      <c r="M23" s="152">
        <f>'P&amp;L'!M5*2/365</f>
        <v>95402.20004</v>
      </c>
      <c r="N23" s="152">
        <f>'P&amp;L'!N5*2/365</f>
        <v>104942.42</v>
      </c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1"/>
    </row>
    <row r="24">
      <c r="A24" s="36"/>
      <c r="B24" s="36" t="s">
        <v>93</v>
      </c>
      <c r="C24" s="36"/>
      <c r="D24" s="152">
        <f>'P&amp;L'!D7*15/365</f>
        <v>147205.4795</v>
      </c>
      <c r="E24" s="152">
        <f>'P&amp;L'!E7*15/365</f>
        <v>157509.863</v>
      </c>
      <c r="F24" s="152">
        <f>'P&amp;L'!F7*15/365</f>
        <v>168535.5534</v>
      </c>
      <c r="G24" s="152">
        <f>'P&amp;L'!G7*15/365</f>
        <v>180333.0422</v>
      </c>
      <c r="H24" s="152">
        <f>'P&amp;L'!H7*15/365</f>
        <v>192956.3551</v>
      </c>
      <c r="I24" s="152">
        <f>'P&amp;L'!I7*15/365</f>
        <v>206463.3</v>
      </c>
      <c r="J24" s="152">
        <f>'P&amp;L'!J7*15/365</f>
        <v>220915.731</v>
      </c>
      <c r="K24" s="152">
        <f>'P&amp;L'!K7*15/365</f>
        <v>236379.8321</v>
      </c>
      <c r="L24" s="152">
        <f>'P&amp;L'!L7*15/365</f>
        <v>252926.4204</v>
      </c>
      <c r="M24" s="152">
        <f>'P&amp;L'!M7*15/365</f>
        <v>270631.2698</v>
      </c>
      <c r="N24" s="152">
        <f>'P&amp;L'!N7*15/365</f>
        <v>289575.4587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1"/>
    </row>
    <row r="25">
      <c r="A25" s="36"/>
      <c r="B25" s="162" t="s">
        <v>94</v>
      </c>
      <c r="C25" s="162"/>
      <c r="D25" s="163">
        <f t="shared" ref="D25:N25" si="4">D22+D23-D24</f>
        <v>198493.1507</v>
      </c>
      <c r="E25" s="163">
        <f t="shared" si="4"/>
        <v>208797.5342</v>
      </c>
      <c r="F25" s="163">
        <f t="shared" si="4"/>
        <v>219823.2247</v>
      </c>
      <c r="G25" s="163">
        <f t="shared" si="4"/>
        <v>234185.097</v>
      </c>
      <c r="H25" s="163">
        <f t="shared" si="4"/>
        <v>252193.6154</v>
      </c>
      <c r="I25" s="163">
        <f t="shared" si="4"/>
        <v>271624.2863</v>
      </c>
      <c r="J25" s="163">
        <f t="shared" si="4"/>
        <v>292592.8159</v>
      </c>
      <c r="K25" s="163">
        <f t="shared" si="4"/>
        <v>315224.6256</v>
      </c>
      <c r="L25" s="163">
        <f t="shared" si="4"/>
        <v>339655.6932</v>
      </c>
      <c r="M25" s="163">
        <f t="shared" si="4"/>
        <v>366033.4699</v>
      </c>
      <c r="N25" s="163">
        <f t="shared" si="4"/>
        <v>394517.8788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1"/>
    </row>
    <row r="26">
      <c r="A26" s="36"/>
      <c r="B26" s="36" t="s">
        <v>95</v>
      </c>
      <c r="C26" s="152">
        <f t="shared" ref="C26:M26" si="5">D25-C25</f>
        <v>198493.1507</v>
      </c>
      <c r="D26" s="152">
        <f t="shared" si="5"/>
        <v>10304.38356</v>
      </c>
      <c r="E26" s="152">
        <f t="shared" si="5"/>
        <v>11025.69041</v>
      </c>
      <c r="F26" s="152">
        <f t="shared" si="5"/>
        <v>14361.8723</v>
      </c>
      <c r="G26" s="152">
        <f t="shared" si="5"/>
        <v>18008.51843</v>
      </c>
      <c r="H26" s="152">
        <f t="shared" si="5"/>
        <v>19430.67089</v>
      </c>
      <c r="I26" s="152">
        <f t="shared" si="5"/>
        <v>20968.52963</v>
      </c>
      <c r="J26" s="152">
        <f t="shared" si="5"/>
        <v>22631.80966</v>
      </c>
      <c r="K26" s="152">
        <f t="shared" si="5"/>
        <v>24431.06759</v>
      </c>
      <c r="L26" s="152">
        <f t="shared" si="5"/>
        <v>26377.7767</v>
      </c>
      <c r="M26" s="152">
        <f t="shared" si="5"/>
        <v>28484.40889</v>
      </c>
      <c r="N26" s="155" t="s">
        <v>96</v>
      </c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1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1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1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1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1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1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1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1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1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1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1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1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1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1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1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1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1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1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1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1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1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1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1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1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1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1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1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1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1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1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1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1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1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1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1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1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1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1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1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1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1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1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1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1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1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1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1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1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1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1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1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1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1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1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1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1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1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1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1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1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1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1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1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1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1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1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1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1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1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1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1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1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1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1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1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1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1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1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1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1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1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1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1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1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1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1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1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1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1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1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1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1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1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1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1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1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1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1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1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1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1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1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1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1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1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1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1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1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1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1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1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1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1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1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1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1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1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1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1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1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1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1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1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1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1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1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1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1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1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1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1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1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1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1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1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1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1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1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1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1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1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1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1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1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1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1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1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1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1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1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1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1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1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1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1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1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1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1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1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1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1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1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1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1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1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1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1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1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1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1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1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1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1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1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1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1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1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1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1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1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1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1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1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1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1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1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1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1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1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1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1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1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1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1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1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1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1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1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1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1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1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1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1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1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1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1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1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1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1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1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1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1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1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1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1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1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1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1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1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1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1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1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1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1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1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1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1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1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1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1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1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1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1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1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1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1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1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1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1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1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1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1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1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1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1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1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1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1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1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1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1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1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1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1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1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1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1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1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1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1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1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1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1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1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1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1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1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1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1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1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1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1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1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1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1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1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1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1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1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1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1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1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1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1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1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1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1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1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1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1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1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1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1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1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1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1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1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1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1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1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1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1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1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1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1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1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1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1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1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1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1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1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1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1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1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1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1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1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1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1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1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1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1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1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1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1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1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1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1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1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1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1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1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1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1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1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1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1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1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1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1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1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1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1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1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1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1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1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1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1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1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1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1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1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1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1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1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1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1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1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1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1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1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1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1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1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1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1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1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1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1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1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1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1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1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1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1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1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1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1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1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1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1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1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1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1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1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1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1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1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1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1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1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1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1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1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1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1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1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1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1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1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1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1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1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1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1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1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1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1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1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1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1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1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1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1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1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1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1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1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1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1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1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1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1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1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1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1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1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1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1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1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1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1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1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1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1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1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1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1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1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1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1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1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1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1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1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1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1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1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1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1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1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1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1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1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1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1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1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1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1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1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1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1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1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1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1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1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1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1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1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1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1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1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1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1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1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1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1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1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1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1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1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1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1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1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1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1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1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1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1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1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1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1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1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1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1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1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1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1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1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1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1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1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1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1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1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1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1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1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1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1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1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1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1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1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1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1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1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1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1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1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1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1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1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1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1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1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1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1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1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1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1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1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1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1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1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1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1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1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1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1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1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1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1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1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1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1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1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1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1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1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1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1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1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1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1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1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1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1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1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1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1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1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1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1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1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1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1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1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1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1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1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1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1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1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1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1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1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1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1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1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1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1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1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1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1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1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1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1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1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1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1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1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1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1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1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1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1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1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1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1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1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1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1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1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1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1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1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1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1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1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1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1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1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1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1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1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1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1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1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1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1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1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1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1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1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1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1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1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1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1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1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1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1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1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1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1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1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1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1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1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1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1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1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1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1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1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1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1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1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1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1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1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1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1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1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1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1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1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1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1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1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1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1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1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1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1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1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1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1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1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1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1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1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1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1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1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1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1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1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1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1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1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1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1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1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1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1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1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1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1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1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1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1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1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1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1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1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1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1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1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1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1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1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1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1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1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1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1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1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1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1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1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1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1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1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1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1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1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1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1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1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1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1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1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1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1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1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1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1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1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1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1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1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1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1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1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1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1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1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1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1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1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1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1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1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1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1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1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1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1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1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1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1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1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1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1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1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1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1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1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1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1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1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1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1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1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1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1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1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1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1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1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1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1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1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1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1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1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1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1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1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1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1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1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1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1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1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1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1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1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1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1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1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1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1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1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1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1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1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1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1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1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1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1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1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1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1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1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1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1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1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1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1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1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1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1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1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1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1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1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1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1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1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1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1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1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1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1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1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1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1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1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1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1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1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1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1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1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1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1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1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1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1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1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1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1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1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1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1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1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1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1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1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1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1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1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1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1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1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1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1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1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1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1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1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1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1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1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1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1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1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1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1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1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1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1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1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1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1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1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1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1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1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1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1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1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1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1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1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1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1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1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1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1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1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1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1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1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1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1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1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1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1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1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1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1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1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1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1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1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1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1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1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1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1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1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1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1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1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1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1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1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1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1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1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1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1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1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1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1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1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1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1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1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1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1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1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1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1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1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1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1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1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1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1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1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1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1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1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1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1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1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1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1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1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1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1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1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1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1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1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1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1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1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1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1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1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1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</sheetData>
  <mergeCells count="1">
    <mergeCell ref="B2:M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</cols>
  <sheetData>
    <row r="2">
      <c r="B2" s="164" t="s">
        <v>97</v>
      </c>
      <c r="C2" s="165" t="s">
        <v>98</v>
      </c>
      <c r="D2" s="166"/>
      <c r="E2" s="166"/>
      <c r="F2" s="166"/>
      <c r="G2" s="166"/>
      <c r="H2" s="87"/>
    </row>
    <row r="3">
      <c r="B3" s="167"/>
      <c r="C3" s="168">
        <v>0.2647</v>
      </c>
      <c r="D3" s="169">
        <v>250.0</v>
      </c>
      <c r="E3" s="169">
        <v>300.0</v>
      </c>
      <c r="F3" s="169">
        <v>350.0</v>
      </c>
      <c r="G3" s="169">
        <v>400.0</v>
      </c>
      <c r="H3" s="170">
        <v>500.0</v>
      </c>
    </row>
    <row r="4">
      <c r="B4" s="167"/>
      <c r="C4" s="171">
        <v>27000.0</v>
      </c>
      <c r="D4" s="172" t="e">
        <v>#NUM!</v>
      </c>
      <c r="E4" s="173">
        <v>-0.2026</v>
      </c>
      <c r="F4" s="174">
        <v>0.2938</v>
      </c>
      <c r="G4" s="174">
        <v>0.7365</v>
      </c>
      <c r="H4" s="175">
        <v>1.6333</v>
      </c>
    </row>
    <row r="5">
      <c r="B5" s="167"/>
      <c r="C5" s="171">
        <v>29000.0</v>
      </c>
      <c r="D5" s="172" t="e">
        <v>#NUM!</v>
      </c>
      <c r="E5" s="174">
        <v>0.0451</v>
      </c>
      <c r="F5" s="174">
        <v>0.5216</v>
      </c>
      <c r="G5" s="174">
        <v>1.0032</v>
      </c>
      <c r="H5" s="175">
        <v>1.961</v>
      </c>
    </row>
    <row r="6">
      <c r="B6" s="167"/>
      <c r="C6" s="171">
        <v>31000.0</v>
      </c>
      <c r="D6" s="172" t="e">
        <v>#NUM!</v>
      </c>
      <c r="E6" s="174">
        <v>0.2452</v>
      </c>
      <c r="F6" s="174">
        <v>0.7531</v>
      </c>
      <c r="G6" s="174">
        <v>1.2696</v>
      </c>
      <c r="H6" s="175">
        <v>2.2862</v>
      </c>
    </row>
    <row r="7">
      <c r="B7" s="167"/>
      <c r="C7" s="171">
        <v>33000.0</v>
      </c>
      <c r="D7" s="173">
        <v>-0.1301</v>
      </c>
      <c r="E7" s="174">
        <v>0.4398</v>
      </c>
      <c r="F7" s="174">
        <v>0.9865</v>
      </c>
      <c r="G7" s="174">
        <v>1.5344</v>
      </c>
      <c r="H7" s="175">
        <v>2.6091</v>
      </c>
    </row>
    <row r="8">
      <c r="B8" s="176"/>
      <c r="C8" s="177">
        <v>35000.0</v>
      </c>
      <c r="D8" s="178">
        <v>0.0626</v>
      </c>
      <c r="E8" s="178">
        <v>0.637</v>
      </c>
      <c r="F8" s="178">
        <v>1.2197</v>
      </c>
      <c r="G8" s="178">
        <v>1.7975</v>
      </c>
      <c r="H8" s="179">
        <v>2.93</v>
      </c>
    </row>
  </sheetData>
  <mergeCells count="2">
    <mergeCell ref="B2:B8"/>
    <mergeCell ref="C2:H2"/>
  </mergeCells>
  <drawing r:id="rId1"/>
</worksheet>
</file>